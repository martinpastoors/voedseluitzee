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anne-jo_vanriel_wur_nl/Documents/PhD laptop Backup/Projects/Noordzee/NL_data_nutrients/"/>
    </mc:Choice>
  </mc:AlternateContent>
  <xr:revisionPtr revIDLastSave="568" documentId="8_{EA887A0A-CFC5-4EE9-A79C-9D7D9FAE1440}" xr6:coauthVersionLast="47" xr6:coauthVersionMax="47" xr10:uidLastSave="{96E20F24-BD3C-418C-9A98-081DFAB16899}"/>
  <bookViews>
    <workbookView xWindow="780" yWindow="780" windowWidth="21600" windowHeight="11295" activeTab="1" xr2:uid="{748653AA-D2CE-4D7D-964F-FF86BB8E2F90}"/>
  </bookViews>
  <sheets>
    <sheet name="Sheet1" sheetId="1" r:id="rId1"/>
    <sheet name="Sheet2" sheetId="2" r:id="rId2"/>
  </sheets>
  <definedNames>
    <definedName name="ch3.15" localSheetId="0">Sheet1!$I$33</definedName>
    <definedName name="ch3.32" localSheetId="0">Sheet1!$I$21</definedName>
    <definedName name="ch3.34" localSheetId="0">Sheet1!$I$42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1" l="1"/>
  <c r="G54" i="1"/>
  <c r="F54" i="1"/>
  <c r="F51" i="1"/>
  <c r="M28" i="1"/>
  <c r="L28" i="1"/>
</calcChain>
</file>

<file path=xl/sharedStrings.xml><?xml version="1.0" encoding="utf-8"?>
<sst xmlns="http://schemas.openxmlformats.org/spreadsheetml/2006/main" count="502" uniqueCount="375">
  <si>
    <t># --- Platvis --------------------------------------------------------------</t>
  </si>
  <si>
    <t xml:space="preserve">  # --- Rondvis ----------------------------------------------------------------</t>
  </si>
  <si>
    <t xml:space="preserve">  # --- Pelagische vis -----------------------------------------------------------</t>
  </si>
  <si>
    <t xml:space="preserve">  # --- Garnalen ---------------------------------------------------------------</t>
  </si>
  <si>
    <t xml:space="preserve">  # --- Kreeften -----------------------------------------------------------------</t>
  </si>
  <si>
    <t xml:space="preserve">  # --- Schaaldieren (schelpdieren) ---------------------------------------------</t>
  </si>
  <si>
    <t xml:space="preserve">  # --- Inktvissen ---------------------------------------------------------------</t>
  </si>
  <si>
    <t xml:space="preserve">  # --- Weekdieren -----------------------------------------------------------------</t>
  </si>
  <si>
    <t xml:space="preserve">  # --- Haaien en roggen -----------------------------------------------------------</t>
  </si>
  <si>
    <t xml:space="preserve">  # --- Overige soorten --------------------------------------------------------------</t>
  </si>
  <si>
    <t>)</t>
  </si>
  <si>
    <t xml:space="preserve">  "SOL"</t>
  </si>
  <si>
    <t xml:space="preserve"> "Tong"</t>
  </si>
  <si>
    <t xml:space="preserve">                     "Platvis"</t>
  </si>
  <si>
    <t xml:space="preserve">  "PLE"</t>
  </si>
  <si>
    <t xml:space="preserve"> "Schol"</t>
  </si>
  <si>
    <t xml:space="preserve">                    "Platvis"</t>
  </si>
  <si>
    <t xml:space="preserve">  "TUR"</t>
  </si>
  <si>
    <t xml:space="preserve"> "Tarbot"</t>
  </si>
  <si>
    <t xml:space="preserve">                   "Platvis"</t>
  </si>
  <si>
    <t xml:space="preserve">  "BLL"</t>
  </si>
  <si>
    <t xml:space="preserve"> "Griet"</t>
  </si>
  <si>
    <t xml:space="preserve">  "DAB"</t>
  </si>
  <si>
    <t xml:space="preserve"> "Schar"</t>
  </si>
  <si>
    <t xml:space="preserve">  "LEM"</t>
  </si>
  <si>
    <t xml:space="preserve"> "Tongschar"</t>
  </si>
  <si>
    <t xml:space="preserve">                "Platvis"</t>
  </si>
  <si>
    <t xml:space="preserve">  "FLE"</t>
  </si>
  <si>
    <t xml:space="preserve"> "Bot"</t>
  </si>
  <si>
    <t xml:space="preserve">                      "Platvis"</t>
  </si>
  <si>
    <t xml:space="preserve">  "MUR"</t>
  </si>
  <si>
    <t xml:space="preserve"> "Mul"</t>
  </si>
  <si>
    <t xml:space="preserve">                      "Rondvis"</t>
  </si>
  <si>
    <t xml:space="preserve">  "COD"</t>
  </si>
  <si>
    <t xml:space="preserve"> "Kabeljauw"</t>
  </si>
  <si>
    <t xml:space="preserve">                "Rondvis"</t>
  </si>
  <si>
    <t xml:space="preserve">  "GUU"</t>
  </si>
  <si>
    <t xml:space="preserve"> "Rode poon"</t>
  </si>
  <si>
    <t xml:space="preserve">  "BSS"</t>
  </si>
  <si>
    <t xml:space="preserve"> "Zeebaars"</t>
  </si>
  <si>
    <t xml:space="preserve">                 "Rondvis"</t>
  </si>
  <si>
    <t xml:space="preserve">  "WHG"</t>
  </si>
  <si>
    <t xml:space="preserve"> "Wijting"</t>
  </si>
  <si>
    <t xml:space="preserve">                  "Rondvis"</t>
  </si>
  <si>
    <t xml:space="preserve">  "HKE"</t>
  </si>
  <si>
    <t xml:space="preserve"> "Heek"</t>
  </si>
  <si>
    <t xml:space="preserve">                     "Rondvis"</t>
  </si>
  <si>
    <t xml:space="preserve">  "GUR"</t>
  </si>
  <si>
    <t xml:space="preserve"> "Poon"</t>
  </si>
  <si>
    <t xml:space="preserve">  "BRB"</t>
  </si>
  <si>
    <t xml:space="preserve"> "Zeekarper"</t>
  </si>
  <si>
    <t xml:space="preserve">  "HAD"</t>
  </si>
  <si>
    <t xml:space="preserve"> "Schelvis"</t>
  </si>
  <si>
    <t xml:space="preserve">  "MUL"</t>
  </si>
  <si>
    <t xml:space="preserve"> "Mullen"</t>
  </si>
  <si>
    <t xml:space="preserve">                   "Rondvis"</t>
  </si>
  <si>
    <t xml:space="preserve">  "NHA"</t>
  </si>
  <si>
    <t xml:space="preserve"> "Noord Pacifische heek"</t>
  </si>
  <si>
    <t xml:space="preserve">    "Rondvis"</t>
  </si>
  <si>
    <t xml:space="preserve">  "HER"</t>
  </si>
  <si>
    <t xml:space="preserve"> "Haring"</t>
  </si>
  <si>
    <t xml:space="preserve">                   "Pelagische vis"</t>
  </si>
  <si>
    <t xml:space="preserve">  "MAC"</t>
  </si>
  <si>
    <t xml:space="preserve"> "Makreel"</t>
  </si>
  <si>
    <t xml:space="preserve">                  "Pelagische vis"</t>
  </si>
  <si>
    <t xml:space="preserve">  "WHB"</t>
  </si>
  <si>
    <t xml:space="preserve"> "Blauwe wijting"</t>
  </si>
  <si>
    <t xml:space="preserve">           "Pelagische vis"</t>
  </si>
  <si>
    <t xml:space="preserve">  "JAX"</t>
  </si>
  <si>
    <t xml:space="preserve"> "Horsmakreel (overig)"</t>
  </si>
  <si>
    <t xml:space="preserve">     "Pelagische vis"</t>
  </si>
  <si>
    <t xml:space="preserve">  "HOM"</t>
  </si>
  <si>
    <t xml:space="preserve"> "Horsmakreel"</t>
  </si>
  <si>
    <t xml:space="preserve">              "Pelagische vis"</t>
  </si>
  <si>
    <t xml:space="preserve">  "PIL"</t>
  </si>
  <si>
    <t xml:space="preserve"> "Sardien"</t>
  </si>
  <si>
    <t xml:space="preserve">  "ARU"</t>
  </si>
  <si>
    <t xml:space="preserve"> "Grote zilversmelt"</t>
  </si>
  <si>
    <t xml:space="preserve">        "Pelagische vis"</t>
  </si>
  <si>
    <t xml:space="preserve">  "VMA"</t>
  </si>
  <si>
    <t xml:space="preserve"> "Chub makreel"</t>
  </si>
  <si>
    <t xml:space="preserve">             "Pelagische vis"</t>
  </si>
  <si>
    <t xml:space="preserve">  "CJM"</t>
  </si>
  <si>
    <t xml:space="preserve"> "Chileense horsmakreel"</t>
  </si>
  <si>
    <t xml:space="preserve">    "Pelagische vis"</t>
  </si>
  <si>
    <t xml:space="preserve">  "MAS"</t>
  </si>
  <si>
    <t xml:space="preserve"> "Chub makreel (overig)"</t>
  </si>
  <si>
    <t xml:space="preserve">  "SPR"</t>
  </si>
  <si>
    <t xml:space="preserve"> "Sprot"</t>
  </si>
  <si>
    <t xml:space="preserve">                    "Pelagische vis"</t>
  </si>
  <si>
    <t xml:space="preserve">  "SME"</t>
  </si>
  <si>
    <t xml:space="preserve"> "Spiering"</t>
  </si>
  <si>
    <t xml:space="preserve">                 "Pelagische vis"</t>
  </si>
  <si>
    <t xml:space="preserve">  "ARY"</t>
  </si>
  <si>
    <t xml:space="preserve"> "Kleine zilversmelt"</t>
  </si>
  <si>
    <t xml:space="preserve">       "Pelagische vis"</t>
  </si>
  <si>
    <t xml:space="preserve">  "ARG"</t>
  </si>
  <si>
    <t xml:space="preserve"> "Zilversmelten"</t>
  </si>
  <si>
    <t xml:space="preserve">            "Pelagische vis"</t>
  </si>
  <si>
    <t xml:space="preserve">  "CSH"</t>
  </si>
  <si>
    <t xml:space="preserve"> "Grijze garnaal"</t>
  </si>
  <si>
    <t xml:space="preserve">           "Garnalen"</t>
  </si>
  <si>
    <t xml:space="preserve">  "NEP"</t>
  </si>
  <si>
    <t xml:space="preserve"> "Langoustine"</t>
  </si>
  <si>
    <t xml:space="preserve">              "Garnalen"</t>
  </si>
  <si>
    <t xml:space="preserve">  "LBE"</t>
  </si>
  <si>
    <t xml:space="preserve"> "Kreeft"</t>
  </si>
  <si>
    <t xml:space="preserve">                   "Kreeften"</t>
  </si>
  <si>
    <t xml:space="preserve">  "EQE"</t>
  </si>
  <si>
    <t xml:space="preserve"> "Kleine zwaardschede"</t>
  </si>
  <si>
    <t xml:space="preserve">      "Schaaldieren"</t>
  </si>
  <si>
    <t xml:space="preserve">  "ULO"</t>
  </si>
  <si>
    <t xml:space="preserve"> "Spisula"</t>
  </si>
  <si>
    <t xml:space="preserve">                  "Schaaldieren"</t>
  </si>
  <si>
    <t xml:space="preserve">  "CRE"</t>
  </si>
  <si>
    <t xml:space="preserve"> "Noordzeekrab"</t>
  </si>
  <si>
    <t xml:space="preserve">             "Schaaldieren"</t>
  </si>
  <si>
    <t xml:space="preserve">  "RAZ"</t>
  </si>
  <si>
    <t xml:space="preserve"> "Scheermessen"</t>
  </si>
  <si>
    <t xml:space="preserve">  "ULT"</t>
  </si>
  <si>
    <t xml:space="preserve"> "Spisula (subtruncata)"</t>
  </si>
  <si>
    <t xml:space="preserve">    "Schaaldieren"</t>
  </si>
  <si>
    <t xml:space="preserve">  "COC"</t>
  </si>
  <si>
    <t xml:space="preserve"> "Kokkel"</t>
  </si>
  <si>
    <t xml:space="preserve">                   "Schaaldieren"</t>
  </si>
  <si>
    <t xml:space="preserve">  "SQR"</t>
  </si>
  <si>
    <t xml:space="preserve"> "Pijlinktvis (overig)"</t>
  </si>
  <si>
    <t xml:space="preserve">     "Inktvissen"</t>
  </si>
  <si>
    <t xml:space="preserve">  "CTC"</t>
  </si>
  <si>
    <t xml:space="preserve"> "Zeekat"</t>
  </si>
  <si>
    <t xml:space="preserve">                   "Inktvissen"</t>
  </si>
  <si>
    <t xml:space="preserve">  "SQU"</t>
  </si>
  <si>
    <t xml:space="preserve"> "Inktvissen (overig)"</t>
  </si>
  <si>
    <t xml:space="preserve">      "Inktvissen"</t>
  </si>
  <si>
    <t xml:space="preserve">  "SQS"</t>
  </si>
  <si>
    <t xml:space="preserve"> "Vliegende inktvis"</t>
  </si>
  <si>
    <t xml:space="preserve">        "Inktvissen"</t>
  </si>
  <si>
    <t xml:space="preserve">  "WHE"</t>
  </si>
  <si>
    <t xml:space="preserve"> "Wulk"</t>
  </si>
  <si>
    <t xml:space="preserve">                     "Weekdieren"</t>
  </si>
  <si>
    <t xml:space="preserve">  "RJC"</t>
  </si>
  <si>
    <t xml:space="preserve"> "Stekelrog"</t>
  </si>
  <si>
    <t xml:space="preserve">                "Haaien en roggen"</t>
  </si>
  <si>
    <t xml:space="preserve">  "RJM"</t>
  </si>
  <si>
    <t xml:space="preserve"> "Gevlekte rog"</t>
  </si>
  <si>
    <t xml:space="preserve">             "Haaien en roggen"</t>
  </si>
  <si>
    <t xml:space="preserve">  "MON"</t>
  </si>
  <si>
    <t xml:space="preserve"> "Zeeduivels"</t>
  </si>
  <si>
    <t xml:space="preserve">               "Overige soorten"</t>
  </si>
  <si>
    <t>eetbare deel van levend gewicht</t>
  </si>
  <si>
    <t>FAO</t>
  </si>
  <si>
    <t>skinless fillet</t>
  </si>
  <si>
    <t>Mullets nei</t>
  </si>
  <si>
    <t>CHUB MACKEREL</t>
  </si>
  <si>
    <t>ATLANTIC COD</t>
  </si>
  <si>
    <t>WHITING</t>
  </si>
  <si>
    <t>HAKES</t>
  </si>
  <si>
    <t>EUROPEAN SPRAT</t>
  </si>
  <si>
    <t>European sole (Solea solea)</t>
  </si>
  <si>
    <t>European plaice (Pleuronectes platessa)</t>
  </si>
  <si>
    <t>Turbot (Scophthalmus maximus)</t>
  </si>
  <si>
    <t>Brill (Scophthalmus rhombus)</t>
  </si>
  <si>
    <t>Dab (Limanda limanda)</t>
  </si>
  <si>
    <t>Lemon sole (Microstomus kitt)</t>
  </si>
  <si>
    <t>Flounder (Platichthys flesus)</t>
  </si>
  <si>
    <t>Surmullet / Red mullet (Mullus surmuletus)</t>
  </si>
  <si>
    <t>Atlantic cod (Gadus morhua)</t>
  </si>
  <si>
    <t>Red gurnard (Chelidonichthys lucerna)</t>
  </si>
  <si>
    <t>European sea bass (Dicentrarchus labrax)</t>
  </si>
  <si>
    <t>Whiting (Merlangius merlangus)</t>
  </si>
  <si>
    <t>European hake (Merluccius merluccius)</t>
  </si>
  <si>
    <t>Gurnards (family Triglidae)</t>
  </si>
  <si>
    <t>Sea bream / gilthead sea bream (Sparus aurata)</t>
  </si>
  <si>
    <t>Haddock (Melanogrammus aeglefinus)</t>
  </si>
  <si>
    <t>Grey mullets (family Mugilidae)</t>
  </si>
  <si>
    <t>Pacific hake (Merluccius productus)</t>
  </si>
  <si>
    <t>Atlantic herring (Clupea harengus)</t>
  </si>
  <si>
    <t>Atlantic mackerel (Scomber scombrus)</t>
  </si>
  <si>
    <t>Blue whiting (Micromesistius poutassou)</t>
  </si>
  <si>
    <t>Horse mackerel (general, Trachurus spp.)</t>
  </si>
  <si>
    <t>Atlantic horse mackerel (Trachurus trachurus)</t>
  </si>
  <si>
    <t>European pilchard / sardine (Sardina pilchardus)</t>
  </si>
  <si>
    <t>Capelin (Mallotus villosus)</t>
  </si>
  <si>
    <t>Chub mackerel (Scomber japonicus)</t>
  </si>
  <si>
    <t>Chilean jack mackerel (Trachurus murphyi)</t>
  </si>
  <si>
    <t>European sprat (Sprattus sprattus)</t>
  </si>
  <si>
    <t>European smelt (Osmerus eperlanus)</t>
  </si>
  <si>
    <t>Least / small smelt (Hypomesus spp.)</t>
  </si>
  <si>
    <t>Smelts (family Osmeridae)</t>
  </si>
  <si>
    <t>Brown shrimp (Crangon crangon)</t>
  </si>
  <si>
    <t>Norway lobster / scampi (Nephrops norvegicus)</t>
  </si>
  <si>
    <t>European lobster (Homarus gammarus)</t>
  </si>
  <si>
    <t>Small razor clam (Ensis ensis)</t>
  </si>
  <si>
    <t>Surf clam (Spisula subtruncata)</t>
  </si>
  <si>
    <t>Brown crab (Cancer pagurus)</t>
  </si>
  <si>
    <t>Razor clams (Ensis spp.)</t>
  </si>
  <si>
    <t>Baltic tellin / surf clam (Spisula subtruncata)</t>
  </si>
  <si>
    <t>Common cockle (Cerastoderma edule)</t>
  </si>
  <si>
    <t>Squids (Loligo / Illex spp.)</t>
  </si>
  <si>
    <t>Cuttlefish (Sepia officinalis)</t>
  </si>
  <si>
    <t>Cephalopods (general squids/octopus)</t>
  </si>
  <si>
    <t>Flying squid (Todarodes sagittatus)</t>
  </si>
  <si>
    <t>Common whelk (Buccinum undatum)</t>
  </si>
  <si>
    <t>Thornback ray (Raja clavata)</t>
  </si>
  <si>
    <t>Spotted ray (Raja montagui)</t>
  </si>
  <si>
    <t>Monkfish / anglerfish (Lophius piscatorius)</t>
  </si>
  <si>
    <t>Squids</t>
  </si>
  <si>
    <t>Cuttlefishes, bobtail squids</t>
  </si>
  <si>
    <t>EUROPEAN PLAICE</t>
  </si>
  <si>
    <t>NORTHERN PRAWN</t>
  </si>
  <si>
    <t>Nutrients</t>
  </si>
  <si>
    <t xml:space="preserve">Protein </t>
  </si>
  <si>
    <t xml:space="preserve">EPA </t>
  </si>
  <si>
    <t>DHA</t>
  </si>
  <si>
    <t>NOR</t>
  </si>
  <si>
    <t>Squid, raw</t>
  </si>
  <si>
    <t>Sprat, raw</t>
  </si>
  <si>
    <t>Shrimps, raw</t>
  </si>
  <si>
    <t>Plaice, raw</t>
  </si>
  <si>
    <t>Mackerel, February - June, raw</t>
  </si>
  <si>
    <t>Mackerel, August - December, raw</t>
  </si>
  <si>
    <t>Lobster, raw</t>
  </si>
  <si>
    <t>Lemon sole, raw</t>
  </si>
  <si>
    <t>Herring, raw</t>
  </si>
  <si>
    <t>Cod, wild, raw</t>
  </si>
  <si>
    <t>Dover sole, raw</t>
  </si>
  <si>
    <t>Whiting raw</t>
  </si>
  <si>
    <t>turbot raw</t>
  </si>
  <si>
    <t>Common dab, raw</t>
  </si>
  <si>
    <t>Cirqual</t>
  </si>
  <si>
    <t>Red gurnard, raw</t>
  </si>
  <si>
    <t>European bass, raw</t>
  </si>
  <si>
    <t>European hake, raw</t>
  </si>
  <si>
    <t>Haddock, raw</t>
  </si>
  <si>
    <t>Mullet, raw</t>
  </si>
  <si>
    <t>na</t>
  </si>
  <si>
    <t>Horse mackerel, lean (spring, summer), raw</t>
  </si>
  <si>
    <t>Horse mackerel, oily (autumn, winter), raw</t>
  </si>
  <si>
    <t>European pilchard or sardine, raw</t>
  </si>
  <si>
    <t>Capelin, raw</t>
  </si>
  <si>
    <t>Atlantic chub mackerel, raw</t>
  </si>
  <si>
    <t>ciqual</t>
  </si>
  <si>
    <t>Pond smelt, raw</t>
  </si>
  <si>
    <t>Norway lobster, raw</t>
  </si>
  <si>
    <t>Clam, raw</t>
  </si>
  <si>
    <t>Cockle, cooked</t>
  </si>
  <si>
    <t>Crab, raw</t>
  </si>
  <si>
    <t>Whelk, raw</t>
  </si>
  <si>
    <t>Ray, raw</t>
  </si>
  <si>
    <t>Anglerfish, raw</t>
  </si>
  <si>
    <t>Cuttlefish, raw</t>
  </si>
  <si>
    <t>Black seabream, raw</t>
  </si>
  <si>
    <t>Surmullet or red mullet, raw</t>
  </si>
  <si>
    <t>S. Egerton</t>
  </si>
  <si>
    <t>blue whiting</t>
  </si>
  <si>
    <t xml:space="preserve"> DOI: 10.15212/ijafr-2020-0112</t>
  </si>
  <si>
    <t>ATLANTIC HERRING</t>
  </si>
  <si>
    <t>ATLANTIC MACKEREL</t>
  </si>
  <si>
    <t>JACK AND HORSE MACKERELS</t>
  </si>
  <si>
    <t>SARDINELLAS</t>
  </si>
  <si>
    <t>CAPELIN</t>
  </si>
  <si>
    <t>https://dx.doi.org/10.31015/jaefs.2021.1.6</t>
  </si>
  <si>
    <t>assumption same other ray</t>
  </si>
  <si>
    <t>Goldengreymullet</t>
  </si>
  <si>
    <t>https://doi.org/10.1016/S0990-7440(02)01187-7</t>
  </si>
  <si>
    <t>https://doi.org/10.4194/AFS19</t>
  </si>
  <si>
    <t>CACA</t>
  </si>
  <si>
    <t>Scallop</t>
  </si>
  <si>
    <t>Cockle</t>
  </si>
  <si>
    <t>crab</t>
  </si>
  <si>
    <t>Lobster</t>
  </si>
  <si>
    <t>yield</t>
  </si>
  <si>
    <t>protein</t>
  </si>
  <si>
    <t>omega</t>
  </si>
  <si>
    <t>Hake</t>
  </si>
  <si>
    <t>species_code</t>
  </si>
  <si>
    <t xml:space="preserve">  SOL</t>
  </si>
  <si>
    <t xml:space="preserve"> Tong</t>
  </si>
  <si>
    <t xml:space="preserve">  PLE</t>
  </si>
  <si>
    <t xml:space="preserve"> Schol</t>
  </si>
  <si>
    <t xml:space="preserve">  TUR</t>
  </si>
  <si>
    <t xml:space="preserve"> Tarbot</t>
  </si>
  <si>
    <t xml:space="preserve">  BLL</t>
  </si>
  <si>
    <t xml:space="preserve"> Griet</t>
  </si>
  <si>
    <t xml:space="preserve">  DAB</t>
  </si>
  <si>
    <t xml:space="preserve"> Schar</t>
  </si>
  <si>
    <t xml:space="preserve">  LEM</t>
  </si>
  <si>
    <t xml:space="preserve"> Tongschar</t>
  </si>
  <si>
    <t xml:space="preserve">  FLE</t>
  </si>
  <si>
    <t xml:space="preserve"> Bot</t>
  </si>
  <si>
    <t xml:space="preserve">  MUR</t>
  </si>
  <si>
    <t xml:space="preserve"> Mul</t>
  </si>
  <si>
    <t xml:space="preserve">  COD</t>
  </si>
  <si>
    <t xml:space="preserve"> Kabeljauw</t>
  </si>
  <si>
    <t xml:space="preserve">  GUU</t>
  </si>
  <si>
    <t xml:space="preserve"> Rode poon</t>
  </si>
  <si>
    <t xml:space="preserve">  BSS</t>
  </si>
  <si>
    <t xml:space="preserve"> Zeebaars</t>
  </si>
  <si>
    <t xml:space="preserve">  WHG</t>
  </si>
  <si>
    <t xml:space="preserve"> Wijting</t>
  </si>
  <si>
    <t xml:space="preserve">  HKE</t>
  </si>
  <si>
    <t xml:space="preserve"> Heek</t>
  </si>
  <si>
    <t xml:space="preserve">  GUR</t>
  </si>
  <si>
    <t xml:space="preserve"> Poon</t>
  </si>
  <si>
    <t xml:space="preserve">  BRB</t>
  </si>
  <si>
    <t xml:space="preserve"> Zeekarper</t>
  </si>
  <si>
    <t xml:space="preserve">  HAD</t>
  </si>
  <si>
    <t xml:space="preserve"> Schelvis</t>
  </si>
  <si>
    <t xml:space="preserve">  MUL</t>
  </si>
  <si>
    <t xml:space="preserve"> Mullen</t>
  </si>
  <si>
    <t xml:space="preserve">  NHA</t>
  </si>
  <si>
    <t xml:space="preserve"> Noord Pacifische heek</t>
  </si>
  <si>
    <t xml:space="preserve">  HER</t>
  </si>
  <si>
    <t xml:space="preserve"> Haring</t>
  </si>
  <si>
    <t xml:space="preserve">  MAC</t>
  </si>
  <si>
    <t xml:space="preserve"> Makreel</t>
  </si>
  <si>
    <t xml:space="preserve">  WHB</t>
  </si>
  <si>
    <t xml:space="preserve"> Blauwe wijting</t>
  </si>
  <si>
    <t xml:space="preserve">  JAX</t>
  </si>
  <si>
    <t xml:space="preserve"> Horsmakreel (overig)</t>
  </si>
  <si>
    <t xml:space="preserve">  HOM</t>
  </si>
  <si>
    <t xml:space="preserve"> Horsmakreel</t>
  </si>
  <si>
    <t xml:space="preserve">  PIL</t>
  </si>
  <si>
    <t xml:space="preserve"> Sardien</t>
  </si>
  <si>
    <t xml:space="preserve">  ARU</t>
  </si>
  <si>
    <t xml:space="preserve"> Grote zilversmelt</t>
  </si>
  <si>
    <t xml:space="preserve">  VMA</t>
  </si>
  <si>
    <t xml:space="preserve"> Chub makreel</t>
  </si>
  <si>
    <t xml:space="preserve">  CJM</t>
  </si>
  <si>
    <t xml:space="preserve"> Chileense horsmakreel</t>
  </si>
  <si>
    <t xml:space="preserve">  MAS</t>
  </si>
  <si>
    <t xml:space="preserve"> Chub makreel (overig)</t>
  </si>
  <si>
    <t xml:space="preserve">  SPR</t>
  </si>
  <si>
    <t xml:space="preserve"> Sprot</t>
  </si>
  <si>
    <t xml:space="preserve">  SME</t>
  </si>
  <si>
    <t xml:space="preserve"> Spiering</t>
  </si>
  <si>
    <t xml:space="preserve">  ARY</t>
  </si>
  <si>
    <t xml:space="preserve"> Kleine zilversmelt</t>
  </si>
  <si>
    <t xml:space="preserve">  ARG</t>
  </si>
  <si>
    <t xml:space="preserve"> Zilversmelten</t>
  </si>
  <si>
    <t xml:space="preserve">  CSH</t>
  </si>
  <si>
    <t xml:space="preserve"> Grijze garnaal</t>
  </si>
  <si>
    <t xml:space="preserve">  NEP</t>
  </si>
  <si>
    <t xml:space="preserve"> Langoustine</t>
  </si>
  <si>
    <t xml:space="preserve">  LBE</t>
  </si>
  <si>
    <t xml:space="preserve"> Kreeft</t>
  </si>
  <si>
    <t xml:space="preserve">  EQE</t>
  </si>
  <si>
    <t xml:space="preserve"> Kleine zwaardschede</t>
  </si>
  <si>
    <t xml:space="preserve">  ULO</t>
  </si>
  <si>
    <t xml:space="preserve"> Spisula</t>
  </si>
  <si>
    <t xml:space="preserve">  CRE</t>
  </si>
  <si>
    <t xml:space="preserve"> Noordzeekrab</t>
  </si>
  <si>
    <t xml:space="preserve">  RAZ</t>
  </si>
  <si>
    <t xml:space="preserve"> Scheermessen</t>
  </si>
  <si>
    <t xml:space="preserve">  ULT</t>
  </si>
  <si>
    <t xml:space="preserve"> Spisula (subtruncata)</t>
  </si>
  <si>
    <t xml:space="preserve">  COC</t>
  </si>
  <si>
    <t xml:space="preserve"> Kokkel</t>
  </si>
  <si>
    <t xml:space="preserve">  SQR</t>
  </si>
  <si>
    <t xml:space="preserve"> Pijlinktvis (overig)</t>
  </si>
  <si>
    <t xml:space="preserve">  CTC</t>
  </si>
  <si>
    <t xml:space="preserve"> Zeekat</t>
  </si>
  <si>
    <t xml:space="preserve">  SQU</t>
  </si>
  <si>
    <t xml:space="preserve"> Inktvissen (overig)</t>
  </si>
  <si>
    <t xml:space="preserve">  SQS</t>
  </si>
  <si>
    <t xml:space="preserve"> Vliegende inktvis</t>
  </si>
  <si>
    <t xml:space="preserve">  WHE</t>
  </si>
  <si>
    <t xml:space="preserve"> Wulk</t>
  </si>
  <si>
    <t xml:space="preserve">  RJC</t>
  </si>
  <si>
    <t xml:space="preserve"> Stekelrog</t>
  </si>
  <si>
    <t xml:space="preserve">  RJM</t>
  </si>
  <si>
    <t xml:space="preserve"> Gevlekte rog</t>
  </si>
  <si>
    <t xml:space="preserve">  MON</t>
  </si>
  <si>
    <t xml:space="preserve"> Zeeduivels</t>
  </si>
  <si>
    <t>species_name_nl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</si>
</sst>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3" fillId="0" borderId="0" xfId="1"/>
    <xf numFmtId="0" fontId="4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o.org/4/x5898e/x5898e01.htm" TargetMode="External"/><Relationship Id="rId3" Type="http://schemas.openxmlformats.org/officeDocument/2006/relationships/hyperlink" Target="https://www.fao.org/4/x5898e/x5898e01.htm" TargetMode="External"/><Relationship Id="rId7" Type="http://schemas.openxmlformats.org/officeDocument/2006/relationships/hyperlink" Target="https://www.fao.org/4/x5898e/x5898e01.htm" TargetMode="External"/><Relationship Id="rId2" Type="http://schemas.openxmlformats.org/officeDocument/2006/relationships/hyperlink" Target="https://www.fao.org/4/x5898e/x5898e01.htm" TargetMode="External"/><Relationship Id="rId1" Type="http://schemas.openxmlformats.org/officeDocument/2006/relationships/hyperlink" Target="https://www.fao.org/4/x5898e/x5898e01.htm" TargetMode="External"/><Relationship Id="rId6" Type="http://schemas.openxmlformats.org/officeDocument/2006/relationships/hyperlink" Target="https://www.fao.org/4/x5898e/x5898e01.htm" TargetMode="External"/><Relationship Id="rId5" Type="http://schemas.openxmlformats.org/officeDocument/2006/relationships/hyperlink" Target="https://www.fao.org/4/x5898e/x5898e01.htm" TargetMode="External"/><Relationship Id="rId4" Type="http://schemas.openxmlformats.org/officeDocument/2006/relationships/hyperlink" Target="https://www.fao.org/4/x5898e/x5898e0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6DDE-55D9-4E8A-91B6-099646BFE57F}">
  <dimension ref="A1:Q71"/>
  <sheetViews>
    <sheetView zoomScale="83" zoomScaleNormal="115" workbookViewId="0">
      <selection activeCell="F64" sqref="F64"/>
    </sheetView>
  </sheetViews>
  <sheetFormatPr defaultRowHeight="15" x14ac:dyDescent="0.25"/>
  <cols>
    <col min="1" max="1" width="7.28515625" customWidth="1"/>
    <col min="2" max="2" width="23.42578125" bestFit="1" customWidth="1"/>
    <col min="3" max="3" width="23.42578125" customWidth="1"/>
    <col min="4" max="4" width="25" style="1" bestFit="1" customWidth="1"/>
    <col min="14" max="14" width="14.28515625" customWidth="1"/>
  </cols>
  <sheetData>
    <row r="1" spans="1:15" x14ac:dyDescent="0.25">
      <c r="A1" t="s">
        <v>0</v>
      </c>
      <c r="F1" t="s">
        <v>149</v>
      </c>
      <c r="G1" t="s">
        <v>151</v>
      </c>
      <c r="K1" t="s">
        <v>210</v>
      </c>
    </row>
    <row r="2" spans="1:15" x14ac:dyDescent="0.25">
      <c r="K2" t="s">
        <v>211</v>
      </c>
      <c r="L2" t="s">
        <v>212</v>
      </c>
      <c r="M2" t="s">
        <v>213</v>
      </c>
    </row>
    <row r="3" spans="1:15" x14ac:dyDescent="0.25">
      <c r="A3" t="s">
        <v>11</v>
      </c>
      <c r="B3" t="s">
        <v>12</v>
      </c>
      <c r="C3" t="s">
        <v>158</v>
      </c>
      <c r="D3" s="1" t="s">
        <v>13</v>
      </c>
      <c r="E3">
        <v>1</v>
      </c>
      <c r="F3">
        <v>40</v>
      </c>
      <c r="G3" s="2">
        <v>49</v>
      </c>
      <c r="H3" t="s">
        <v>208</v>
      </c>
      <c r="K3">
        <v>14.8</v>
      </c>
      <c r="L3">
        <v>0.1</v>
      </c>
      <c r="M3">
        <v>0.1</v>
      </c>
      <c r="N3" t="s">
        <v>225</v>
      </c>
      <c r="O3" t="s">
        <v>214</v>
      </c>
    </row>
    <row r="4" spans="1:15" x14ac:dyDescent="0.25">
      <c r="A4" t="s">
        <v>14</v>
      </c>
      <c r="B4" t="s">
        <v>15</v>
      </c>
      <c r="C4" t="s">
        <v>159</v>
      </c>
      <c r="D4" s="1" t="s">
        <v>16</v>
      </c>
      <c r="E4">
        <v>2</v>
      </c>
      <c r="F4">
        <v>38</v>
      </c>
      <c r="G4" s="2">
        <v>49</v>
      </c>
      <c r="H4" t="s">
        <v>208</v>
      </c>
      <c r="K4">
        <v>16.8</v>
      </c>
      <c r="L4">
        <v>0.2</v>
      </c>
      <c r="M4">
        <v>0.4</v>
      </c>
      <c r="N4" t="s">
        <v>218</v>
      </c>
      <c r="O4" t="s">
        <v>214</v>
      </c>
    </row>
    <row r="5" spans="1:15" x14ac:dyDescent="0.25">
      <c r="A5" t="s">
        <v>17</v>
      </c>
      <c r="B5" t="s">
        <v>18</v>
      </c>
      <c r="C5" t="s">
        <v>160</v>
      </c>
      <c r="D5" s="1" t="s">
        <v>19</v>
      </c>
      <c r="E5">
        <v>3</v>
      </c>
      <c r="F5">
        <v>37</v>
      </c>
      <c r="G5" s="2">
        <v>49</v>
      </c>
      <c r="H5" t="s">
        <v>208</v>
      </c>
      <c r="K5">
        <v>15.9</v>
      </c>
      <c r="L5">
        <v>0.3</v>
      </c>
      <c r="M5">
        <v>0.2</v>
      </c>
      <c r="N5" t="s">
        <v>227</v>
      </c>
      <c r="O5" t="s">
        <v>214</v>
      </c>
    </row>
    <row r="6" spans="1:15" x14ac:dyDescent="0.25">
      <c r="A6" t="s">
        <v>20</v>
      </c>
      <c r="B6" t="s">
        <v>21</v>
      </c>
      <c r="C6" t="s">
        <v>161</v>
      </c>
      <c r="D6" s="1" t="s">
        <v>16</v>
      </c>
      <c r="E6">
        <v>4</v>
      </c>
      <c r="F6" s="2">
        <v>34</v>
      </c>
      <c r="G6" s="2">
        <v>49</v>
      </c>
      <c r="H6" t="s">
        <v>208</v>
      </c>
      <c r="K6">
        <v>18.3</v>
      </c>
      <c r="L6">
        <v>4.2999999999999997E-2</v>
      </c>
      <c r="M6">
        <v>0.16</v>
      </c>
      <c r="N6" t="s">
        <v>228</v>
      </c>
      <c r="O6" t="s">
        <v>229</v>
      </c>
    </row>
    <row r="7" spans="1:15" x14ac:dyDescent="0.25">
      <c r="A7" t="s">
        <v>22</v>
      </c>
      <c r="B7" t="s">
        <v>23</v>
      </c>
      <c r="C7" t="s">
        <v>162</v>
      </c>
      <c r="D7" s="1" t="s">
        <v>16</v>
      </c>
      <c r="E7">
        <v>5</v>
      </c>
      <c r="F7" s="2">
        <v>34</v>
      </c>
      <c r="G7" s="2">
        <v>49</v>
      </c>
      <c r="H7" t="s">
        <v>208</v>
      </c>
      <c r="K7">
        <v>18.3</v>
      </c>
      <c r="L7">
        <v>4.2999999999999997E-2</v>
      </c>
      <c r="M7">
        <v>0.16</v>
      </c>
      <c r="N7" t="s">
        <v>228</v>
      </c>
      <c r="O7" t="s">
        <v>229</v>
      </c>
    </row>
    <row r="8" spans="1:15" x14ac:dyDescent="0.25">
      <c r="A8" t="s">
        <v>24</v>
      </c>
      <c r="B8" t="s">
        <v>25</v>
      </c>
      <c r="C8" t="s">
        <v>163</v>
      </c>
      <c r="D8" s="1" t="s">
        <v>26</v>
      </c>
      <c r="E8">
        <v>6</v>
      </c>
      <c r="F8" s="2">
        <v>34</v>
      </c>
      <c r="G8" s="2">
        <v>49</v>
      </c>
      <c r="H8" t="s">
        <v>208</v>
      </c>
      <c r="K8">
        <v>16</v>
      </c>
      <c r="L8">
        <v>0</v>
      </c>
      <c r="M8">
        <v>0</v>
      </c>
      <c r="N8" t="s">
        <v>222</v>
      </c>
      <c r="O8" t="s">
        <v>214</v>
      </c>
    </row>
    <row r="9" spans="1:15" x14ac:dyDescent="0.25">
      <c r="A9" t="s">
        <v>27</v>
      </c>
      <c r="B9" t="s">
        <v>28</v>
      </c>
      <c r="C9" t="s">
        <v>164</v>
      </c>
      <c r="D9" s="1" t="s">
        <v>29</v>
      </c>
      <c r="E9">
        <v>7</v>
      </c>
      <c r="F9" s="2">
        <v>34</v>
      </c>
      <c r="G9" s="2">
        <v>49</v>
      </c>
      <c r="H9" t="s">
        <v>208</v>
      </c>
      <c r="K9">
        <v>18.3</v>
      </c>
      <c r="L9">
        <v>4.2999999999999997E-2</v>
      </c>
      <c r="M9">
        <v>0.16</v>
      </c>
      <c r="N9" t="s">
        <v>228</v>
      </c>
      <c r="O9" t="s">
        <v>229</v>
      </c>
    </row>
    <row r="11" spans="1:15" x14ac:dyDescent="0.25">
      <c r="A11" t="s">
        <v>1</v>
      </c>
    </row>
    <row r="12" spans="1:15" x14ac:dyDescent="0.25">
      <c r="A12" t="s">
        <v>30</v>
      </c>
      <c r="B12" t="s">
        <v>31</v>
      </c>
      <c r="C12" t="s">
        <v>165</v>
      </c>
      <c r="D12" s="1" t="s">
        <v>32</v>
      </c>
      <c r="E12">
        <v>1</v>
      </c>
      <c r="F12">
        <v>35</v>
      </c>
      <c r="G12" s="2">
        <v>34</v>
      </c>
      <c r="H12" t="s">
        <v>150</v>
      </c>
      <c r="I12" t="s">
        <v>152</v>
      </c>
      <c r="K12">
        <v>18.399999999999999</v>
      </c>
      <c r="L12">
        <v>0.99</v>
      </c>
      <c r="M12">
        <v>0.63</v>
      </c>
      <c r="N12" t="s">
        <v>252</v>
      </c>
      <c r="O12" t="s">
        <v>241</v>
      </c>
    </row>
    <row r="13" spans="1:15" x14ac:dyDescent="0.25">
      <c r="A13" t="s">
        <v>33</v>
      </c>
      <c r="B13" t="s">
        <v>34</v>
      </c>
      <c r="C13" t="s">
        <v>166</v>
      </c>
      <c r="D13" s="1" t="s">
        <v>35</v>
      </c>
      <c r="E13">
        <v>2</v>
      </c>
      <c r="F13" s="2">
        <v>34</v>
      </c>
      <c r="G13" s="2">
        <v>47</v>
      </c>
      <c r="H13" t="s">
        <v>150</v>
      </c>
      <c r="I13" t="s">
        <v>154</v>
      </c>
      <c r="K13">
        <v>17.399999999999999</v>
      </c>
      <c r="L13">
        <v>0.1</v>
      </c>
      <c r="M13">
        <v>0.2</v>
      </c>
      <c r="N13" t="s">
        <v>224</v>
      </c>
      <c r="O13" t="s">
        <v>214</v>
      </c>
    </row>
    <row r="14" spans="1:15" x14ac:dyDescent="0.25">
      <c r="A14" t="s">
        <v>36</v>
      </c>
      <c r="B14" t="s">
        <v>37</v>
      </c>
      <c r="C14" t="s">
        <v>167</v>
      </c>
      <c r="D14" s="1" t="s">
        <v>35</v>
      </c>
      <c r="E14">
        <v>3</v>
      </c>
      <c r="F14">
        <v>40</v>
      </c>
      <c r="G14">
        <v>51</v>
      </c>
      <c r="H14" t="s">
        <v>265</v>
      </c>
      <c r="I14" s="6" t="s">
        <v>266</v>
      </c>
      <c r="K14">
        <v>19</v>
      </c>
      <c r="L14" t="s">
        <v>235</v>
      </c>
      <c r="M14" t="s">
        <v>235</v>
      </c>
      <c r="N14" t="s">
        <v>230</v>
      </c>
      <c r="O14" t="s">
        <v>241</v>
      </c>
    </row>
    <row r="15" spans="1:15" x14ac:dyDescent="0.25">
      <c r="A15" t="s">
        <v>38</v>
      </c>
      <c r="B15" t="s">
        <v>39</v>
      </c>
      <c r="C15" t="s">
        <v>168</v>
      </c>
      <c r="D15" s="1" t="s">
        <v>40</v>
      </c>
      <c r="E15">
        <v>4</v>
      </c>
      <c r="F15">
        <v>35</v>
      </c>
      <c r="K15">
        <v>19.100000000000001</v>
      </c>
      <c r="L15">
        <v>0.04</v>
      </c>
      <c r="M15">
        <v>0.12</v>
      </c>
      <c r="N15" t="s">
        <v>231</v>
      </c>
    </row>
    <row r="16" spans="1:15" x14ac:dyDescent="0.25">
      <c r="A16" t="s">
        <v>41</v>
      </c>
      <c r="B16" t="s">
        <v>42</v>
      </c>
      <c r="C16" t="s">
        <v>169</v>
      </c>
      <c r="D16" s="1" t="s">
        <v>43</v>
      </c>
      <c r="E16">
        <v>5</v>
      </c>
      <c r="F16" s="2">
        <v>32</v>
      </c>
      <c r="G16" s="2">
        <v>49</v>
      </c>
      <c r="H16" t="s">
        <v>150</v>
      </c>
      <c r="I16" t="s">
        <v>155</v>
      </c>
      <c r="K16">
        <v>18.3</v>
      </c>
      <c r="L16">
        <v>0.1</v>
      </c>
      <c r="M16">
        <v>0.2</v>
      </c>
      <c r="N16" t="s">
        <v>226</v>
      </c>
      <c r="O16" t="s">
        <v>214</v>
      </c>
    </row>
    <row r="17" spans="1:17" x14ac:dyDescent="0.25">
      <c r="A17" t="s">
        <v>44</v>
      </c>
      <c r="B17" t="s">
        <v>45</v>
      </c>
      <c r="C17" t="s">
        <v>170</v>
      </c>
      <c r="D17" s="1" t="s">
        <v>46</v>
      </c>
      <c r="E17">
        <v>6</v>
      </c>
      <c r="F17" s="2">
        <v>41</v>
      </c>
      <c r="G17" s="2">
        <v>53</v>
      </c>
      <c r="H17" t="s">
        <v>150</v>
      </c>
      <c r="I17" t="s">
        <v>156</v>
      </c>
      <c r="K17">
        <v>17.600000000000001</v>
      </c>
      <c r="L17">
        <v>7.4999999999999997E-2</v>
      </c>
      <c r="M17">
        <v>0.21</v>
      </c>
      <c r="N17" t="s">
        <v>232</v>
      </c>
      <c r="O17" t="s">
        <v>241</v>
      </c>
    </row>
    <row r="18" spans="1:17" x14ac:dyDescent="0.25">
      <c r="A18" t="s">
        <v>47</v>
      </c>
      <c r="B18" t="s">
        <v>48</v>
      </c>
      <c r="C18" t="s">
        <v>171</v>
      </c>
      <c r="D18" s="1" t="s">
        <v>46</v>
      </c>
      <c r="E18">
        <v>7</v>
      </c>
      <c r="F18" s="2">
        <v>40</v>
      </c>
      <c r="G18">
        <v>51</v>
      </c>
      <c r="H18" t="s">
        <v>265</v>
      </c>
      <c r="I18" s="6" t="s">
        <v>266</v>
      </c>
      <c r="K18">
        <v>19</v>
      </c>
      <c r="L18" t="s">
        <v>235</v>
      </c>
      <c r="M18" t="s">
        <v>235</v>
      </c>
      <c r="N18" t="s">
        <v>230</v>
      </c>
      <c r="O18" t="s">
        <v>241</v>
      </c>
    </row>
    <row r="19" spans="1:17" x14ac:dyDescent="0.25">
      <c r="A19" t="s">
        <v>49</v>
      </c>
      <c r="B19" t="s">
        <v>50</v>
      </c>
      <c r="C19" t="s">
        <v>172</v>
      </c>
      <c r="D19" s="1" t="s">
        <v>35</v>
      </c>
      <c r="E19">
        <v>8</v>
      </c>
      <c r="F19" s="5">
        <v>50</v>
      </c>
      <c r="G19" s="2"/>
      <c r="H19" t="s">
        <v>264</v>
      </c>
      <c r="K19">
        <v>20.5</v>
      </c>
      <c r="L19">
        <v>0.47</v>
      </c>
      <c r="M19">
        <v>0.39</v>
      </c>
      <c r="N19" t="s">
        <v>251</v>
      </c>
      <c r="O19" t="s">
        <v>241</v>
      </c>
    </row>
    <row r="20" spans="1:17" x14ac:dyDescent="0.25">
      <c r="A20" t="s">
        <v>51</v>
      </c>
      <c r="B20" t="s">
        <v>52</v>
      </c>
      <c r="C20" t="s">
        <v>173</v>
      </c>
      <c r="D20" s="1" t="s">
        <v>40</v>
      </c>
      <c r="E20">
        <v>9</v>
      </c>
      <c r="F20" s="2">
        <v>48</v>
      </c>
      <c r="G20" s="2"/>
      <c r="H20" t="s">
        <v>150</v>
      </c>
      <c r="K20">
        <v>17.3</v>
      </c>
      <c r="L20">
        <v>4.9000000000000002E-2</v>
      </c>
      <c r="M20">
        <v>9.1999999999999998E-2</v>
      </c>
      <c r="N20" t="s">
        <v>233</v>
      </c>
      <c r="O20" t="s">
        <v>241</v>
      </c>
    </row>
    <row r="21" spans="1:17" x14ac:dyDescent="0.25">
      <c r="A21" t="s">
        <v>53</v>
      </c>
      <c r="B21" t="s">
        <v>54</v>
      </c>
      <c r="C21" t="s">
        <v>174</v>
      </c>
      <c r="D21" s="1" t="s">
        <v>55</v>
      </c>
      <c r="E21">
        <v>10</v>
      </c>
      <c r="F21">
        <v>51.8</v>
      </c>
      <c r="G21" s="2"/>
      <c r="H21" t="s">
        <v>264</v>
      </c>
      <c r="I21" t="s">
        <v>263</v>
      </c>
      <c r="K21">
        <v>20.100000000000001</v>
      </c>
      <c r="L21">
        <v>0.7</v>
      </c>
      <c r="M21">
        <v>0.18</v>
      </c>
      <c r="N21" t="s">
        <v>234</v>
      </c>
      <c r="O21" t="s">
        <v>241</v>
      </c>
    </row>
    <row r="22" spans="1:17" x14ac:dyDescent="0.25">
      <c r="A22" t="s">
        <v>56</v>
      </c>
      <c r="B22" t="s">
        <v>57</v>
      </c>
      <c r="C22" t="s">
        <v>175</v>
      </c>
      <c r="D22" s="1" t="s">
        <v>58</v>
      </c>
      <c r="E22">
        <v>11</v>
      </c>
      <c r="F22" s="2">
        <v>50</v>
      </c>
      <c r="G22">
        <v>55</v>
      </c>
      <c r="H22" t="s">
        <v>274</v>
      </c>
      <c r="I22" s="6" t="s">
        <v>266</v>
      </c>
      <c r="K22">
        <v>17.600000000000001</v>
      </c>
      <c r="L22">
        <v>7.4999999999999997E-2</v>
      </c>
      <c r="M22">
        <v>0.21</v>
      </c>
      <c r="N22" t="s">
        <v>232</v>
      </c>
      <c r="O22" t="s">
        <v>241</v>
      </c>
    </row>
    <row r="24" spans="1:17" x14ac:dyDescent="0.25">
      <c r="A24" t="s">
        <v>2</v>
      </c>
    </row>
    <row r="25" spans="1:17" x14ac:dyDescent="0.25">
      <c r="A25" t="s">
        <v>59</v>
      </c>
      <c r="B25" t="s">
        <v>60</v>
      </c>
      <c r="C25" t="s">
        <v>176</v>
      </c>
      <c r="D25" s="1" t="s">
        <v>61</v>
      </c>
      <c r="E25">
        <v>1</v>
      </c>
      <c r="F25">
        <v>46</v>
      </c>
      <c r="G25">
        <v>61</v>
      </c>
      <c r="H25" t="s">
        <v>150</v>
      </c>
      <c r="I25" t="s">
        <v>256</v>
      </c>
      <c r="K25">
        <v>17.399999999999999</v>
      </c>
      <c r="L25">
        <v>0.7</v>
      </c>
      <c r="M25">
        <v>0.9</v>
      </c>
      <c r="N25" t="s">
        <v>223</v>
      </c>
      <c r="O25" t="s">
        <v>214</v>
      </c>
    </row>
    <row r="26" spans="1:17" x14ac:dyDescent="0.25">
      <c r="A26" t="s">
        <v>62</v>
      </c>
      <c r="B26" t="s">
        <v>63</v>
      </c>
      <c r="C26" t="s">
        <v>177</v>
      </c>
      <c r="D26" s="1" t="s">
        <v>64</v>
      </c>
      <c r="E26">
        <v>2</v>
      </c>
      <c r="F26">
        <v>54</v>
      </c>
      <c r="G26">
        <v>61</v>
      </c>
      <c r="H26" t="s">
        <v>150</v>
      </c>
      <c r="I26" t="s">
        <v>257</v>
      </c>
      <c r="K26">
        <v>19</v>
      </c>
      <c r="L26">
        <v>0.2</v>
      </c>
      <c r="M26">
        <v>0.5</v>
      </c>
      <c r="N26" t="s">
        <v>219</v>
      </c>
      <c r="O26" t="s">
        <v>214</v>
      </c>
    </row>
    <row r="27" spans="1:17" x14ac:dyDescent="0.25">
      <c r="K27">
        <v>17.5</v>
      </c>
      <c r="L27">
        <v>1.7</v>
      </c>
      <c r="M27">
        <v>2.8</v>
      </c>
      <c r="N27" t="s">
        <v>220</v>
      </c>
      <c r="O27" t="s">
        <v>214</v>
      </c>
    </row>
    <row r="28" spans="1:17" x14ac:dyDescent="0.25">
      <c r="A28" t="s">
        <v>65</v>
      </c>
      <c r="B28" t="s">
        <v>66</v>
      </c>
      <c r="C28" t="s">
        <v>178</v>
      </c>
      <c r="D28" s="1" t="s">
        <v>67</v>
      </c>
      <c r="E28">
        <v>3</v>
      </c>
      <c r="F28">
        <v>35.700000000000003</v>
      </c>
      <c r="K28">
        <v>17</v>
      </c>
      <c r="L28" s="4">
        <f>8.07/100*$P$28</f>
        <v>0.31795800000000002</v>
      </c>
      <c r="M28" s="4">
        <f>11.88/100*$P$28</f>
        <v>0.46807199999999999</v>
      </c>
      <c r="N28" t="s">
        <v>254</v>
      </c>
      <c r="O28" t="s">
        <v>253</v>
      </c>
      <c r="P28">
        <v>3.94</v>
      </c>
      <c r="Q28" t="s">
        <v>255</v>
      </c>
    </row>
    <row r="29" spans="1:17" x14ac:dyDescent="0.25">
      <c r="A29" t="s">
        <v>68</v>
      </c>
      <c r="B29" t="s">
        <v>69</v>
      </c>
      <c r="C29" t="s">
        <v>179</v>
      </c>
      <c r="D29" s="1" t="s">
        <v>70</v>
      </c>
      <c r="E29">
        <v>4</v>
      </c>
      <c r="F29">
        <v>46</v>
      </c>
      <c r="G29">
        <v>52</v>
      </c>
      <c r="H29" t="s">
        <v>150</v>
      </c>
      <c r="I29" t="s">
        <v>258</v>
      </c>
      <c r="K29">
        <v>19</v>
      </c>
      <c r="L29">
        <v>0.14000000000000001</v>
      </c>
      <c r="M29">
        <v>0.34</v>
      </c>
      <c r="N29" t="s">
        <v>236</v>
      </c>
      <c r="O29" t="s">
        <v>241</v>
      </c>
    </row>
    <row r="30" spans="1:17" x14ac:dyDescent="0.25">
      <c r="A30" t="s">
        <v>71</v>
      </c>
      <c r="B30" t="s">
        <v>72</v>
      </c>
      <c r="C30" t="s">
        <v>180</v>
      </c>
      <c r="D30" s="1" t="s">
        <v>73</v>
      </c>
      <c r="E30">
        <v>5</v>
      </c>
      <c r="F30">
        <v>46</v>
      </c>
      <c r="G30">
        <v>52</v>
      </c>
      <c r="H30" t="s">
        <v>150</v>
      </c>
      <c r="I30" t="s">
        <v>258</v>
      </c>
      <c r="K30">
        <v>19.600000000000001</v>
      </c>
      <c r="L30">
        <v>0.28999999999999998</v>
      </c>
      <c r="M30">
        <v>0.7</v>
      </c>
      <c r="N30" t="s">
        <v>237</v>
      </c>
      <c r="O30" t="s">
        <v>241</v>
      </c>
    </row>
    <row r="31" spans="1:17" x14ac:dyDescent="0.25">
      <c r="A31" t="s">
        <v>74</v>
      </c>
      <c r="B31" t="s">
        <v>75</v>
      </c>
      <c r="C31" t="s">
        <v>181</v>
      </c>
      <c r="D31" s="1" t="s">
        <v>64</v>
      </c>
      <c r="E31">
        <v>6</v>
      </c>
      <c r="F31">
        <v>53</v>
      </c>
      <c r="G31">
        <v>65</v>
      </c>
      <c r="H31" t="s">
        <v>150</v>
      </c>
      <c r="I31" t="s">
        <v>259</v>
      </c>
      <c r="K31">
        <v>19.5</v>
      </c>
      <c r="L31">
        <v>1.26</v>
      </c>
      <c r="M31">
        <v>1.84</v>
      </c>
      <c r="N31" t="s">
        <v>238</v>
      </c>
      <c r="O31" t="s">
        <v>241</v>
      </c>
    </row>
    <row r="32" spans="1:17" x14ac:dyDescent="0.25">
      <c r="A32" t="s">
        <v>76</v>
      </c>
      <c r="B32" t="s">
        <v>77</v>
      </c>
      <c r="C32" t="s">
        <v>182</v>
      </c>
      <c r="D32" s="1" t="s">
        <v>78</v>
      </c>
      <c r="E32">
        <v>7</v>
      </c>
      <c r="F32">
        <v>57</v>
      </c>
      <c r="G32">
        <v>60</v>
      </c>
      <c r="I32" t="s">
        <v>260</v>
      </c>
      <c r="K32">
        <v>18.7</v>
      </c>
      <c r="L32" t="s">
        <v>235</v>
      </c>
      <c r="M32" t="s">
        <v>235</v>
      </c>
      <c r="N32" t="s">
        <v>239</v>
      </c>
      <c r="O32" t="s">
        <v>241</v>
      </c>
    </row>
    <row r="33" spans="1:15" x14ac:dyDescent="0.25">
      <c r="A33" t="s">
        <v>79</v>
      </c>
      <c r="B33" t="s">
        <v>80</v>
      </c>
      <c r="C33" t="s">
        <v>183</v>
      </c>
      <c r="D33" s="1" t="s">
        <v>81</v>
      </c>
      <c r="E33">
        <v>8</v>
      </c>
      <c r="F33" s="2">
        <v>46</v>
      </c>
      <c r="G33" s="2">
        <v>57</v>
      </c>
      <c r="H33" t="s">
        <v>150</v>
      </c>
      <c r="I33" t="s">
        <v>153</v>
      </c>
      <c r="K33">
        <v>22.1</v>
      </c>
      <c r="L33">
        <v>0.25</v>
      </c>
      <c r="M33">
        <v>0.76</v>
      </c>
      <c r="N33" t="s">
        <v>240</v>
      </c>
      <c r="O33" t="s">
        <v>241</v>
      </c>
    </row>
    <row r="34" spans="1:15" x14ac:dyDescent="0.25">
      <c r="A34" t="s">
        <v>82</v>
      </c>
      <c r="B34" t="s">
        <v>83</v>
      </c>
      <c r="C34" t="s">
        <v>184</v>
      </c>
      <c r="D34" s="1" t="s">
        <v>84</v>
      </c>
      <c r="E34">
        <v>9</v>
      </c>
      <c r="F34">
        <v>46</v>
      </c>
      <c r="G34">
        <v>52</v>
      </c>
      <c r="H34" t="s">
        <v>150</v>
      </c>
      <c r="I34" t="s">
        <v>258</v>
      </c>
      <c r="K34" s="2">
        <v>19</v>
      </c>
      <c r="L34" s="2">
        <v>0.14000000000000001</v>
      </c>
      <c r="M34" s="2">
        <v>0.34</v>
      </c>
      <c r="N34" s="2" t="s">
        <v>236</v>
      </c>
      <c r="O34" t="s">
        <v>241</v>
      </c>
    </row>
    <row r="35" spans="1:15" x14ac:dyDescent="0.25">
      <c r="A35" t="s">
        <v>85</v>
      </c>
      <c r="B35" t="s">
        <v>86</v>
      </c>
      <c r="C35" t="s">
        <v>183</v>
      </c>
      <c r="D35" s="1" t="s">
        <v>84</v>
      </c>
      <c r="E35">
        <v>10</v>
      </c>
      <c r="F35" s="2">
        <v>46</v>
      </c>
      <c r="G35" s="2">
        <v>57</v>
      </c>
      <c r="H35" t="s">
        <v>150</v>
      </c>
      <c r="I35" t="s">
        <v>153</v>
      </c>
      <c r="K35">
        <v>22.1</v>
      </c>
      <c r="L35">
        <v>0.25</v>
      </c>
      <c r="M35">
        <v>0.76</v>
      </c>
      <c r="N35" t="s">
        <v>240</v>
      </c>
      <c r="O35" t="s">
        <v>241</v>
      </c>
    </row>
    <row r="36" spans="1:15" x14ac:dyDescent="0.25">
      <c r="A36" t="s">
        <v>87</v>
      </c>
      <c r="B36" t="s">
        <v>88</v>
      </c>
      <c r="C36" t="s">
        <v>185</v>
      </c>
      <c r="D36" s="1" t="s">
        <v>89</v>
      </c>
      <c r="E36">
        <v>11</v>
      </c>
      <c r="F36" s="2">
        <v>50</v>
      </c>
      <c r="G36" s="2">
        <v>56</v>
      </c>
      <c r="H36" t="s">
        <v>150</v>
      </c>
      <c r="I36" t="s">
        <v>157</v>
      </c>
      <c r="K36">
        <v>12.4</v>
      </c>
      <c r="L36">
        <v>0.9</v>
      </c>
      <c r="M36">
        <v>1.6</v>
      </c>
      <c r="N36" t="s">
        <v>216</v>
      </c>
      <c r="O36" t="s">
        <v>214</v>
      </c>
    </row>
    <row r="37" spans="1:15" x14ac:dyDescent="0.25">
      <c r="A37" t="s">
        <v>90</v>
      </c>
      <c r="B37" t="s">
        <v>91</v>
      </c>
      <c r="C37" t="s">
        <v>186</v>
      </c>
      <c r="D37" s="1" t="s">
        <v>92</v>
      </c>
      <c r="E37">
        <v>12</v>
      </c>
      <c r="F37" s="2">
        <v>50</v>
      </c>
      <c r="G37" s="2">
        <v>56</v>
      </c>
      <c r="H37" t="s">
        <v>150</v>
      </c>
      <c r="I37" t="s">
        <v>157</v>
      </c>
      <c r="K37">
        <v>17.5</v>
      </c>
      <c r="L37">
        <v>0.24</v>
      </c>
      <c r="M37">
        <v>0.48</v>
      </c>
      <c r="N37" t="s">
        <v>242</v>
      </c>
      <c r="O37" t="s">
        <v>241</v>
      </c>
    </row>
    <row r="38" spans="1:15" x14ac:dyDescent="0.25">
      <c r="A38" t="s">
        <v>93</v>
      </c>
      <c r="B38" t="s">
        <v>94</v>
      </c>
      <c r="C38" t="s">
        <v>187</v>
      </c>
      <c r="D38" s="1" t="s">
        <v>95</v>
      </c>
      <c r="E38">
        <v>13</v>
      </c>
      <c r="F38" s="2">
        <v>50</v>
      </c>
      <c r="G38" s="2">
        <v>56</v>
      </c>
      <c r="H38" t="s">
        <v>150</v>
      </c>
      <c r="I38" t="s">
        <v>157</v>
      </c>
      <c r="K38">
        <v>17.5</v>
      </c>
      <c r="L38">
        <v>0.24</v>
      </c>
      <c r="M38">
        <v>0.48</v>
      </c>
      <c r="N38" t="s">
        <v>242</v>
      </c>
      <c r="O38" t="s">
        <v>241</v>
      </c>
    </row>
    <row r="39" spans="1:15" x14ac:dyDescent="0.25">
      <c r="A39" t="s">
        <v>96</v>
      </c>
      <c r="B39" t="s">
        <v>97</v>
      </c>
      <c r="C39" t="s">
        <v>188</v>
      </c>
      <c r="D39" s="1" t="s">
        <v>98</v>
      </c>
      <c r="E39">
        <v>14</v>
      </c>
      <c r="F39" s="2">
        <v>50</v>
      </c>
      <c r="G39" s="2">
        <v>56</v>
      </c>
      <c r="H39" t="s">
        <v>150</v>
      </c>
      <c r="I39" t="s">
        <v>157</v>
      </c>
      <c r="K39">
        <v>17.5</v>
      </c>
      <c r="L39">
        <v>0.24</v>
      </c>
      <c r="M39">
        <v>0.48</v>
      </c>
      <c r="N39" t="s">
        <v>242</v>
      </c>
      <c r="O39" t="s">
        <v>241</v>
      </c>
    </row>
    <row r="41" spans="1:15" x14ac:dyDescent="0.25">
      <c r="A41" t="s">
        <v>3</v>
      </c>
    </row>
    <row r="42" spans="1:15" x14ac:dyDescent="0.25">
      <c r="A42" t="s">
        <v>99</v>
      </c>
      <c r="B42" t="s">
        <v>100</v>
      </c>
      <c r="C42" t="s">
        <v>189</v>
      </c>
      <c r="D42" s="1" t="s">
        <v>101</v>
      </c>
      <c r="E42">
        <v>1</v>
      </c>
      <c r="F42" s="2">
        <v>36</v>
      </c>
      <c r="G42" s="2">
        <v>36</v>
      </c>
      <c r="H42" s="2" t="s">
        <v>150</v>
      </c>
      <c r="I42" t="s">
        <v>209</v>
      </c>
      <c r="K42">
        <v>21</v>
      </c>
      <c r="L42">
        <v>0.2</v>
      </c>
      <c r="M42">
        <v>0.2</v>
      </c>
      <c r="N42" t="s">
        <v>217</v>
      </c>
      <c r="O42" t="s">
        <v>214</v>
      </c>
    </row>
    <row r="43" spans="1:15" x14ac:dyDescent="0.25">
      <c r="A43" t="s">
        <v>102</v>
      </c>
      <c r="B43" t="s">
        <v>103</v>
      </c>
      <c r="C43" t="s">
        <v>190</v>
      </c>
      <c r="D43" s="1" t="s">
        <v>104</v>
      </c>
      <c r="E43">
        <v>2</v>
      </c>
      <c r="F43">
        <v>24</v>
      </c>
      <c r="G43">
        <v>42</v>
      </c>
      <c r="H43" s="6" t="s">
        <v>266</v>
      </c>
      <c r="I43" s="7" t="s">
        <v>270</v>
      </c>
      <c r="K43">
        <v>19.100000000000001</v>
      </c>
      <c r="L43">
        <v>0.18</v>
      </c>
      <c r="M43">
        <v>8.5000000000000006E-2</v>
      </c>
      <c r="N43" t="s">
        <v>243</v>
      </c>
      <c r="O43" t="s">
        <v>241</v>
      </c>
    </row>
    <row r="45" spans="1:15" x14ac:dyDescent="0.25">
      <c r="A45" t="s">
        <v>4</v>
      </c>
    </row>
    <row r="46" spans="1:15" x14ac:dyDescent="0.25">
      <c r="A46" t="s">
        <v>105</v>
      </c>
      <c r="B46" t="s">
        <v>106</v>
      </c>
      <c r="C46" t="s">
        <v>191</v>
      </c>
      <c r="D46" s="1" t="s">
        <v>107</v>
      </c>
      <c r="E46">
        <v>1</v>
      </c>
      <c r="F46">
        <v>24</v>
      </c>
      <c r="G46">
        <v>42</v>
      </c>
      <c r="H46" s="6" t="s">
        <v>266</v>
      </c>
      <c r="I46" s="7" t="s">
        <v>270</v>
      </c>
      <c r="K46">
        <v>17.8</v>
      </c>
      <c r="L46">
        <v>0.1</v>
      </c>
      <c r="M46">
        <v>0.1</v>
      </c>
      <c r="N46" t="s">
        <v>221</v>
      </c>
      <c r="O46" t="s">
        <v>214</v>
      </c>
    </row>
    <row r="48" spans="1:15" x14ac:dyDescent="0.25">
      <c r="A48" t="s">
        <v>5</v>
      </c>
    </row>
    <row r="49" spans="1:15" x14ac:dyDescent="0.25">
      <c r="A49" t="s">
        <v>108</v>
      </c>
      <c r="B49" t="s">
        <v>109</v>
      </c>
      <c r="C49" t="s">
        <v>192</v>
      </c>
      <c r="D49" s="1" t="s">
        <v>110</v>
      </c>
      <c r="E49">
        <v>1</v>
      </c>
      <c r="F49">
        <v>14</v>
      </c>
      <c r="G49">
        <v>14</v>
      </c>
      <c r="H49" s="6" t="s">
        <v>266</v>
      </c>
      <c r="I49" t="s">
        <v>268</v>
      </c>
      <c r="K49">
        <v>11.5</v>
      </c>
      <c r="L49">
        <v>4.2999999999999997E-2</v>
      </c>
      <c r="M49">
        <v>6.4000000000000001E-2</v>
      </c>
      <c r="N49" t="s">
        <v>244</v>
      </c>
      <c r="O49" t="s">
        <v>241</v>
      </c>
    </row>
    <row r="50" spans="1:15" x14ac:dyDescent="0.25">
      <c r="A50" t="s">
        <v>111</v>
      </c>
      <c r="B50" t="s">
        <v>112</v>
      </c>
      <c r="C50" t="s">
        <v>193</v>
      </c>
      <c r="D50" s="1" t="s">
        <v>113</v>
      </c>
      <c r="E50">
        <v>2</v>
      </c>
      <c r="F50">
        <v>14</v>
      </c>
      <c r="G50">
        <v>14</v>
      </c>
      <c r="H50" s="6" t="s">
        <v>266</v>
      </c>
      <c r="I50" t="s">
        <v>268</v>
      </c>
      <c r="K50">
        <v>11.5</v>
      </c>
      <c r="L50">
        <v>4.2999999999999997E-2</v>
      </c>
      <c r="M50">
        <v>6.4000000000000001E-2</v>
      </c>
      <c r="N50" t="s">
        <v>244</v>
      </c>
      <c r="O50" t="s">
        <v>241</v>
      </c>
    </row>
    <row r="51" spans="1:15" x14ac:dyDescent="0.25">
      <c r="A51" t="s">
        <v>114</v>
      </c>
      <c r="B51" t="s">
        <v>115</v>
      </c>
      <c r="C51" t="s">
        <v>194</v>
      </c>
      <c r="D51" s="1" t="s">
        <v>116</v>
      </c>
      <c r="E51">
        <v>3</v>
      </c>
      <c r="F51">
        <f>(0.27+0.36)/2*100</f>
        <v>31.5</v>
      </c>
      <c r="G51">
        <f>(0.27+0.36)/2*100</f>
        <v>31.5</v>
      </c>
      <c r="H51" s="6" t="s">
        <v>266</v>
      </c>
      <c r="I51" t="s">
        <v>269</v>
      </c>
      <c r="K51">
        <v>19.5</v>
      </c>
      <c r="L51">
        <v>0.32</v>
      </c>
      <c r="M51">
        <v>1.4999999999999999E-2</v>
      </c>
      <c r="N51" t="s">
        <v>246</v>
      </c>
      <c r="O51" t="s">
        <v>241</v>
      </c>
    </row>
    <row r="52" spans="1:15" x14ac:dyDescent="0.25">
      <c r="A52" t="s">
        <v>117</v>
      </c>
      <c r="B52" t="s">
        <v>118</v>
      </c>
      <c r="C52" t="s">
        <v>195</v>
      </c>
      <c r="D52" s="1" t="s">
        <v>116</v>
      </c>
      <c r="E52">
        <v>4</v>
      </c>
      <c r="F52">
        <v>14</v>
      </c>
      <c r="G52">
        <v>14</v>
      </c>
      <c r="H52" s="6" t="s">
        <v>266</v>
      </c>
      <c r="I52" t="s">
        <v>268</v>
      </c>
      <c r="K52">
        <v>11.5</v>
      </c>
      <c r="L52">
        <v>4.2999999999999997E-2</v>
      </c>
      <c r="M52">
        <v>6.4000000000000001E-2</v>
      </c>
      <c r="N52" t="s">
        <v>244</v>
      </c>
      <c r="O52" t="s">
        <v>241</v>
      </c>
    </row>
    <row r="53" spans="1:15" x14ac:dyDescent="0.25">
      <c r="A53" t="s">
        <v>119</v>
      </c>
      <c r="B53" t="s">
        <v>120</v>
      </c>
      <c r="C53" t="s">
        <v>196</v>
      </c>
      <c r="D53" s="1" t="s">
        <v>121</v>
      </c>
      <c r="E53">
        <v>5</v>
      </c>
      <c r="F53">
        <v>14</v>
      </c>
      <c r="G53">
        <v>14</v>
      </c>
      <c r="H53" s="6" t="s">
        <v>266</v>
      </c>
      <c r="I53" t="s">
        <v>268</v>
      </c>
      <c r="K53">
        <v>11.5</v>
      </c>
      <c r="L53">
        <v>4.2999999999999997E-2</v>
      </c>
      <c r="M53">
        <v>6.4000000000000001E-2</v>
      </c>
      <c r="N53" t="s">
        <v>244</v>
      </c>
      <c r="O53" t="s">
        <v>241</v>
      </c>
    </row>
    <row r="54" spans="1:15" x14ac:dyDescent="0.25">
      <c r="A54" t="s">
        <v>122</v>
      </c>
      <c r="B54" t="s">
        <v>123</v>
      </c>
      <c r="C54" t="s">
        <v>197</v>
      </c>
      <c r="D54" s="1" t="s">
        <v>124</v>
      </c>
      <c r="E54">
        <v>6</v>
      </c>
      <c r="F54">
        <f>(0.08+0.15)/2*100</f>
        <v>11.5</v>
      </c>
      <c r="G54">
        <f>(0.08+0.15)/2*100</f>
        <v>11.5</v>
      </c>
      <c r="H54" s="6" t="s">
        <v>266</v>
      </c>
      <c r="I54" t="s">
        <v>267</v>
      </c>
      <c r="K54">
        <v>13.6</v>
      </c>
      <c r="L54">
        <v>0.12</v>
      </c>
      <c r="M54">
        <v>8.8999999999999996E-2</v>
      </c>
      <c r="N54" t="s">
        <v>245</v>
      </c>
      <c r="O54" t="s">
        <v>241</v>
      </c>
    </row>
    <row r="56" spans="1:15" x14ac:dyDescent="0.25">
      <c r="A56" t="s">
        <v>6</v>
      </c>
    </row>
    <row r="57" spans="1:15" x14ac:dyDescent="0.25">
      <c r="A57" t="s">
        <v>125</v>
      </c>
      <c r="B57" t="s">
        <v>126</v>
      </c>
      <c r="C57" t="s">
        <v>198</v>
      </c>
      <c r="D57" s="1" t="s">
        <v>127</v>
      </c>
      <c r="E57">
        <v>1</v>
      </c>
      <c r="F57" s="2">
        <v>67</v>
      </c>
      <c r="G57" s="2">
        <v>67</v>
      </c>
      <c r="H57" t="s">
        <v>150</v>
      </c>
      <c r="I57" s="3" t="s">
        <v>206</v>
      </c>
      <c r="J57" s="3"/>
      <c r="K57">
        <v>15.4</v>
      </c>
      <c r="L57">
        <v>0.2</v>
      </c>
      <c r="M57">
        <v>0.4</v>
      </c>
      <c r="N57" t="s">
        <v>215</v>
      </c>
      <c r="O57" t="s">
        <v>214</v>
      </c>
    </row>
    <row r="58" spans="1:15" x14ac:dyDescent="0.25">
      <c r="A58" t="s">
        <v>128</v>
      </c>
      <c r="B58" t="s">
        <v>129</v>
      </c>
      <c r="C58" t="s">
        <v>199</v>
      </c>
      <c r="D58" s="1" t="s">
        <v>130</v>
      </c>
      <c r="E58">
        <v>2</v>
      </c>
      <c r="F58" s="2">
        <v>63</v>
      </c>
      <c r="G58" s="2">
        <v>63</v>
      </c>
      <c r="H58" t="s">
        <v>150</v>
      </c>
      <c r="I58" t="s">
        <v>207</v>
      </c>
      <c r="K58">
        <v>16.2</v>
      </c>
      <c r="L58">
        <v>0.04</v>
      </c>
      <c r="M58">
        <v>0.22</v>
      </c>
      <c r="N58" t="s">
        <v>250</v>
      </c>
      <c r="O58" t="s">
        <v>241</v>
      </c>
    </row>
    <row r="59" spans="1:15" x14ac:dyDescent="0.25">
      <c r="A59" t="s">
        <v>131</v>
      </c>
      <c r="B59" t="s">
        <v>132</v>
      </c>
      <c r="C59" t="s">
        <v>200</v>
      </c>
      <c r="D59" s="1" t="s">
        <v>133</v>
      </c>
      <c r="E59">
        <v>3</v>
      </c>
      <c r="F59" s="2">
        <v>67</v>
      </c>
      <c r="G59" s="2">
        <v>67</v>
      </c>
      <c r="H59" t="s">
        <v>150</v>
      </c>
      <c r="I59" s="3" t="s">
        <v>206</v>
      </c>
      <c r="J59" s="3"/>
      <c r="K59">
        <v>15.4</v>
      </c>
      <c r="L59">
        <v>0.2</v>
      </c>
      <c r="M59">
        <v>0.4</v>
      </c>
      <c r="N59" t="s">
        <v>215</v>
      </c>
      <c r="O59" t="s">
        <v>214</v>
      </c>
    </row>
    <row r="60" spans="1:15" x14ac:dyDescent="0.25">
      <c r="A60" t="s">
        <v>134</v>
      </c>
      <c r="B60" t="s">
        <v>135</v>
      </c>
      <c r="C60" t="s">
        <v>201</v>
      </c>
      <c r="D60" s="1" t="s">
        <v>136</v>
      </c>
      <c r="E60">
        <v>4</v>
      </c>
      <c r="F60" s="2">
        <v>67</v>
      </c>
      <c r="G60" s="2">
        <v>67</v>
      </c>
      <c r="H60" t="s">
        <v>150</v>
      </c>
      <c r="I60" s="3" t="s">
        <v>206</v>
      </c>
      <c r="J60" s="3"/>
      <c r="K60">
        <v>15.4</v>
      </c>
      <c r="L60">
        <v>0.2</v>
      </c>
      <c r="M60">
        <v>0.4</v>
      </c>
      <c r="N60" t="s">
        <v>215</v>
      </c>
      <c r="O60" t="s">
        <v>214</v>
      </c>
    </row>
    <row r="62" spans="1:15" x14ac:dyDescent="0.25">
      <c r="A62" t="s">
        <v>7</v>
      </c>
    </row>
    <row r="63" spans="1:15" x14ac:dyDescent="0.25">
      <c r="A63" t="s">
        <v>137</v>
      </c>
      <c r="B63" t="s">
        <v>138</v>
      </c>
      <c r="C63" t="s">
        <v>202</v>
      </c>
      <c r="D63" s="1" t="s">
        <v>139</v>
      </c>
      <c r="E63">
        <v>1</v>
      </c>
      <c r="F63">
        <v>42</v>
      </c>
      <c r="G63">
        <v>42</v>
      </c>
      <c r="H63" s="6" t="s">
        <v>266</v>
      </c>
      <c r="K63">
        <v>23.8</v>
      </c>
      <c r="L63">
        <v>4.0000000000000001E-3</v>
      </c>
      <c r="M63">
        <v>6.0000000000000001E-3</v>
      </c>
      <c r="N63" t="s">
        <v>247</v>
      </c>
      <c r="O63" t="s">
        <v>241</v>
      </c>
    </row>
    <row r="65" spans="1:15" x14ac:dyDescent="0.25">
      <c r="A65" t="s">
        <v>8</v>
      </c>
    </row>
    <row r="66" spans="1:15" x14ac:dyDescent="0.25">
      <c r="A66" t="s">
        <v>140</v>
      </c>
      <c r="B66" t="s">
        <v>141</v>
      </c>
      <c r="C66" t="s">
        <v>203</v>
      </c>
      <c r="D66" s="1" t="s">
        <v>142</v>
      </c>
      <c r="E66">
        <v>1</v>
      </c>
      <c r="F66">
        <v>34.86</v>
      </c>
      <c r="G66">
        <v>34.86</v>
      </c>
      <c r="I66" t="s">
        <v>261</v>
      </c>
      <c r="K66">
        <v>21.4</v>
      </c>
      <c r="L66">
        <v>1.1000000000000001E-3</v>
      </c>
      <c r="M66">
        <v>0.11</v>
      </c>
      <c r="N66" t="s">
        <v>248</v>
      </c>
      <c r="O66" t="s">
        <v>241</v>
      </c>
    </row>
    <row r="67" spans="1:15" x14ac:dyDescent="0.25">
      <c r="A67" t="s">
        <v>143</v>
      </c>
      <c r="B67" t="s">
        <v>144</v>
      </c>
      <c r="C67" t="s">
        <v>204</v>
      </c>
      <c r="D67" s="1" t="s">
        <v>145</v>
      </c>
      <c r="E67">
        <v>2</v>
      </c>
      <c r="F67">
        <v>34.86</v>
      </c>
      <c r="G67">
        <v>34.86</v>
      </c>
      <c r="I67" t="s">
        <v>262</v>
      </c>
      <c r="K67">
        <v>21.4</v>
      </c>
      <c r="L67">
        <v>1.1000000000000001E-3</v>
      </c>
      <c r="M67">
        <v>0.11</v>
      </c>
      <c r="N67" t="s">
        <v>248</v>
      </c>
      <c r="O67" t="s">
        <v>241</v>
      </c>
    </row>
    <row r="69" spans="1:15" x14ac:dyDescent="0.25">
      <c r="A69" t="s">
        <v>9</v>
      </c>
    </row>
    <row r="70" spans="1:15" x14ac:dyDescent="0.25">
      <c r="A70" t="s">
        <v>146</v>
      </c>
      <c r="B70" t="s">
        <v>147</v>
      </c>
      <c r="C70" t="s">
        <v>205</v>
      </c>
      <c r="D70" s="1" t="s">
        <v>148</v>
      </c>
      <c r="E70">
        <v>1</v>
      </c>
      <c r="F70">
        <v>25.7</v>
      </c>
      <c r="I70" t="s">
        <v>261</v>
      </c>
      <c r="K70">
        <v>15.1</v>
      </c>
      <c r="L70">
        <v>5.2999999999999999E-2</v>
      </c>
      <c r="M70">
        <v>0.12</v>
      </c>
      <c r="N70" t="s">
        <v>249</v>
      </c>
      <c r="O70" t="s">
        <v>241</v>
      </c>
    </row>
    <row r="71" spans="1:15" x14ac:dyDescent="0.25">
      <c r="A71" t="s">
        <v>10</v>
      </c>
    </row>
  </sheetData>
  <hyperlinks>
    <hyperlink ref="I18" r:id="rId1" display="https://www.fao.org/4/x5898e/x5898e01.htm" xr:uid="{DCB66D0B-2F0F-4F20-A366-79BC46381055}"/>
    <hyperlink ref="I14" r:id="rId2" display="https://www.fao.org/4/x5898e/x5898e01.htm" xr:uid="{BBDE417D-FC5F-4B77-88D7-8FFD03099279}"/>
    <hyperlink ref="H54" r:id="rId3" display="https://www.fao.org/4/x5898e/x5898e01.htm" xr:uid="{B0001BA8-A13F-4E24-B159-19E36A387A96}"/>
    <hyperlink ref="H63" r:id="rId4" display="https://www.fao.org/4/x5898e/x5898e01.htm" xr:uid="{2AF219E6-9BE6-4AE2-ABE2-B659188C6A75}"/>
    <hyperlink ref="H49:H53" r:id="rId5" display="https://www.fao.org/4/x5898e/x5898e01.htm" xr:uid="{B64B1C45-AE3E-46E9-8563-380843C0E83B}"/>
    <hyperlink ref="H46" r:id="rId6" display="https://www.fao.org/4/x5898e/x5898e01.htm" xr:uid="{D1E9C86D-1418-46B5-8AF0-214AC9997D74}"/>
    <hyperlink ref="H43" r:id="rId7" display="https://www.fao.org/4/x5898e/x5898e01.htm" xr:uid="{EDCFF97F-4B03-4645-B3F6-3BFABA416AB4}"/>
    <hyperlink ref="I22" r:id="rId8" display="https://www.fao.org/4/x5898e/x5898e01.htm" xr:uid="{13E7609A-F7B2-44D0-8168-E07D08E1E7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F879-5532-40C4-A026-5A5D8C688D79}">
  <dimension ref="A1:E50"/>
  <sheetViews>
    <sheetView tabSelected="1" workbookViewId="0">
      <selection activeCell="B2" sqref="B2"/>
    </sheetView>
  </sheetViews>
  <sheetFormatPr defaultRowHeight="15" x14ac:dyDescent="0.25"/>
  <cols>
    <col min="1" max="1" width="7.28515625" customWidth="1"/>
    <col min="2" max="2" width="23.42578125" bestFit="1" customWidth="1"/>
  </cols>
  <sheetData>
    <row r="1" spans="1:5" x14ac:dyDescent="0.25">
      <c r="A1" t="s">
        <v>275</v>
      </c>
      <c r="B1" t="s">
        <v>374</v>
      </c>
      <c r="C1" t="s">
        <v>271</v>
      </c>
      <c r="D1" t="s">
        <v>272</v>
      </c>
      <c r="E1" t="s">
        <v>273</v>
      </c>
    </row>
    <row r="2" spans="1:5" x14ac:dyDescent="0.25">
      <c r="A2" t="s">
        <v>276</v>
      </c>
      <c r="B2" t="s">
        <v>277</v>
      </c>
      <c r="C2" s="8">
        <v>40</v>
      </c>
      <c r="D2" s="8">
        <v>14.8</v>
      </c>
      <c r="E2" s="4">
        <v>0.2</v>
      </c>
    </row>
    <row r="3" spans="1:5" x14ac:dyDescent="0.25">
      <c r="A3" t="s">
        <v>278</v>
      </c>
      <c r="B3" t="s">
        <v>279</v>
      </c>
      <c r="C3" s="8">
        <v>38</v>
      </c>
      <c r="D3" s="8">
        <v>16.8</v>
      </c>
      <c r="E3" s="4">
        <v>0.60000000000000009</v>
      </c>
    </row>
    <row r="4" spans="1:5" x14ac:dyDescent="0.25">
      <c r="A4" t="s">
        <v>280</v>
      </c>
      <c r="B4" t="s">
        <v>281</v>
      </c>
      <c r="C4" s="8">
        <v>37</v>
      </c>
      <c r="D4" s="8">
        <v>15.9</v>
      </c>
      <c r="E4" s="4">
        <v>0.5</v>
      </c>
    </row>
    <row r="5" spans="1:5" x14ac:dyDescent="0.25">
      <c r="A5" t="s">
        <v>282</v>
      </c>
      <c r="B5" t="s">
        <v>283</v>
      </c>
      <c r="C5" s="8">
        <v>34</v>
      </c>
      <c r="D5" s="8">
        <v>18.3</v>
      </c>
      <c r="E5" s="4">
        <v>0.20300000000000001</v>
      </c>
    </row>
    <row r="6" spans="1:5" x14ac:dyDescent="0.25">
      <c r="A6" t="s">
        <v>284</v>
      </c>
      <c r="B6" t="s">
        <v>285</v>
      </c>
      <c r="C6" s="8">
        <v>34</v>
      </c>
      <c r="D6" s="8">
        <v>18.3</v>
      </c>
      <c r="E6" s="4">
        <v>0.20300000000000001</v>
      </c>
    </row>
    <row r="7" spans="1:5" x14ac:dyDescent="0.25">
      <c r="A7" t="s">
        <v>286</v>
      </c>
      <c r="B7" t="s">
        <v>287</v>
      </c>
      <c r="C7" s="8">
        <v>34</v>
      </c>
      <c r="D7" s="8">
        <v>16</v>
      </c>
      <c r="E7" s="4">
        <v>0</v>
      </c>
    </row>
    <row r="8" spans="1:5" x14ac:dyDescent="0.25">
      <c r="A8" t="s">
        <v>288</v>
      </c>
      <c r="B8" t="s">
        <v>289</v>
      </c>
      <c r="C8" s="8">
        <v>34</v>
      </c>
      <c r="D8" s="8">
        <v>18.3</v>
      </c>
      <c r="E8" s="4">
        <v>0.20300000000000001</v>
      </c>
    </row>
    <row r="9" spans="1:5" x14ac:dyDescent="0.25">
      <c r="A9" t="s">
        <v>290</v>
      </c>
      <c r="B9" t="s">
        <v>291</v>
      </c>
      <c r="C9" s="8">
        <v>35</v>
      </c>
      <c r="D9" s="8">
        <v>18.399999999999999</v>
      </c>
      <c r="E9" s="4">
        <v>1.62</v>
      </c>
    </row>
    <row r="10" spans="1:5" x14ac:dyDescent="0.25">
      <c r="A10" t="s">
        <v>292</v>
      </c>
      <c r="B10" t="s">
        <v>293</v>
      </c>
      <c r="C10" s="8">
        <v>34</v>
      </c>
      <c r="D10" s="8">
        <v>17.399999999999999</v>
      </c>
      <c r="E10" s="4">
        <v>0.30000000000000004</v>
      </c>
    </row>
    <row r="11" spans="1:5" x14ac:dyDescent="0.25">
      <c r="A11" t="s">
        <v>294</v>
      </c>
      <c r="B11" t="s">
        <v>295</v>
      </c>
      <c r="C11" s="8">
        <v>40</v>
      </c>
      <c r="D11" s="8">
        <v>19</v>
      </c>
      <c r="E11" s="4">
        <v>0</v>
      </c>
    </row>
    <row r="12" spans="1:5" x14ac:dyDescent="0.25">
      <c r="A12" t="s">
        <v>296</v>
      </c>
      <c r="B12" t="s">
        <v>297</v>
      </c>
      <c r="C12" s="8">
        <v>35</v>
      </c>
      <c r="D12" s="8">
        <v>19.100000000000001</v>
      </c>
      <c r="E12" s="4">
        <v>0.16</v>
      </c>
    </row>
    <row r="13" spans="1:5" x14ac:dyDescent="0.25">
      <c r="A13" t="s">
        <v>298</v>
      </c>
      <c r="B13" t="s">
        <v>299</v>
      </c>
      <c r="C13" s="8">
        <v>32</v>
      </c>
      <c r="D13" s="8">
        <v>18.3</v>
      </c>
      <c r="E13" s="4">
        <v>0.30000000000000004</v>
      </c>
    </row>
    <row r="14" spans="1:5" x14ac:dyDescent="0.25">
      <c r="A14" t="s">
        <v>300</v>
      </c>
      <c r="B14" t="s">
        <v>301</v>
      </c>
      <c r="C14" s="8">
        <v>41</v>
      </c>
      <c r="D14" s="8">
        <v>17.600000000000001</v>
      </c>
      <c r="E14" s="4">
        <v>0.28499999999999998</v>
      </c>
    </row>
    <row r="15" spans="1:5" x14ac:dyDescent="0.25">
      <c r="A15" t="s">
        <v>302</v>
      </c>
      <c r="B15" t="s">
        <v>303</v>
      </c>
      <c r="C15" s="8">
        <v>40</v>
      </c>
      <c r="D15" s="8">
        <v>19</v>
      </c>
      <c r="E15" s="4">
        <v>0</v>
      </c>
    </row>
    <row r="16" spans="1:5" x14ac:dyDescent="0.25">
      <c r="A16" t="s">
        <v>304</v>
      </c>
      <c r="B16" t="s">
        <v>305</v>
      </c>
      <c r="C16" s="8">
        <v>50</v>
      </c>
      <c r="D16" s="8">
        <v>20.5</v>
      </c>
      <c r="E16" s="4">
        <v>0.86</v>
      </c>
    </row>
    <row r="17" spans="1:5" x14ac:dyDescent="0.25">
      <c r="A17" t="s">
        <v>306</v>
      </c>
      <c r="B17" t="s">
        <v>307</v>
      </c>
      <c r="C17" s="8">
        <v>48</v>
      </c>
      <c r="D17" s="8">
        <v>17.3</v>
      </c>
      <c r="E17" s="4">
        <v>0.14100000000000001</v>
      </c>
    </row>
    <row r="18" spans="1:5" x14ac:dyDescent="0.25">
      <c r="A18" t="s">
        <v>308</v>
      </c>
      <c r="B18" t="s">
        <v>309</v>
      </c>
      <c r="C18" s="8">
        <v>51.8</v>
      </c>
      <c r="D18" s="8">
        <v>20.100000000000001</v>
      </c>
      <c r="E18" s="4">
        <v>0.87999999999999989</v>
      </c>
    </row>
    <row r="19" spans="1:5" x14ac:dyDescent="0.25">
      <c r="A19" t="s">
        <v>310</v>
      </c>
      <c r="B19" t="s">
        <v>311</v>
      </c>
      <c r="C19" s="8">
        <v>50</v>
      </c>
      <c r="D19" s="8">
        <v>17.600000000000001</v>
      </c>
      <c r="E19" s="4">
        <v>0.28499999999999998</v>
      </c>
    </row>
    <row r="20" spans="1:5" x14ac:dyDescent="0.25">
      <c r="A20" t="s">
        <v>312</v>
      </c>
      <c r="B20" t="s">
        <v>313</v>
      </c>
      <c r="C20" s="8">
        <v>46</v>
      </c>
      <c r="D20" s="8">
        <v>17.399999999999999</v>
      </c>
      <c r="E20" s="4">
        <v>1.6</v>
      </c>
    </row>
    <row r="21" spans="1:5" x14ac:dyDescent="0.25">
      <c r="A21" t="s">
        <v>314</v>
      </c>
      <c r="B21" t="s">
        <v>315</v>
      </c>
      <c r="C21" s="8">
        <v>54</v>
      </c>
      <c r="D21" s="8">
        <v>19</v>
      </c>
      <c r="E21" s="4">
        <v>0.7</v>
      </c>
    </row>
    <row r="22" spans="1:5" x14ac:dyDescent="0.25">
      <c r="A22" t="s">
        <v>316</v>
      </c>
      <c r="B22" t="s">
        <v>317</v>
      </c>
      <c r="C22" s="8">
        <v>35.700000000000003</v>
      </c>
      <c r="D22" s="8">
        <v>17</v>
      </c>
      <c r="E22" s="4">
        <v>0.78603000000000001</v>
      </c>
    </row>
    <row r="23" spans="1:5" x14ac:dyDescent="0.25">
      <c r="A23" t="s">
        <v>318</v>
      </c>
      <c r="B23" t="s">
        <v>319</v>
      </c>
      <c r="C23" s="8">
        <v>46</v>
      </c>
      <c r="D23" s="8">
        <v>19</v>
      </c>
      <c r="E23" s="4">
        <v>0.48000000000000004</v>
      </c>
    </row>
    <row r="24" spans="1:5" x14ac:dyDescent="0.25">
      <c r="A24" t="s">
        <v>320</v>
      </c>
      <c r="B24" t="s">
        <v>321</v>
      </c>
      <c r="C24" s="8">
        <v>46</v>
      </c>
      <c r="D24" s="8">
        <v>19.600000000000001</v>
      </c>
      <c r="E24" s="4">
        <v>0.99</v>
      </c>
    </row>
    <row r="25" spans="1:5" x14ac:dyDescent="0.25">
      <c r="A25" t="s">
        <v>322</v>
      </c>
      <c r="B25" t="s">
        <v>323</v>
      </c>
      <c r="C25" s="8">
        <v>53</v>
      </c>
      <c r="D25" s="8">
        <v>19.5</v>
      </c>
      <c r="E25" s="4">
        <v>3.1</v>
      </c>
    </row>
    <row r="26" spans="1:5" x14ac:dyDescent="0.25">
      <c r="A26" t="s">
        <v>324</v>
      </c>
      <c r="B26" t="s">
        <v>325</v>
      </c>
      <c r="C26" s="8">
        <v>57</v>
      </c>
      <c r="D26" s="8">
        <v>18.7</v>
      </c>
      <c r="E26" s="4">
        <v>0</v>
      </c>
    </row>
    <row r="27" spans="1:5" x14ac:dyDescent="0.25">
      <c r="A27" t="s">
        <v>326</v>
      </c>
      <c r="B27" t="s">
        <v>327</v>
      </c>
      <c r="C27" s="8">
        <v>46</v>
      </c>
      <c r="D27" s="8">
        <v>22.1</v>
      </c>
      <c r="E27" s="4">
        <v>1.01</v>
      </c>
    </row>
    <row r="28" spans="1:5" x14ac:dyDescent="0.25">
      <c r="A28" t="s">
        <v>328</v>
      </c>
      <c r="B28" t="s">
        <v>329</v>
      </c>
      <c r="C28" s="8">
        <v>46</v>
      </c>
      <c r="D28" s="8">
        <v>19</v>
      </c>
      <c r="E28" s="4">
        <v>0.48000000000000004</v>
      </c>
    </row>
    <row r="29" spans="1:5" x14ac:dyDescent="0.25">
      <c r="A29" t="s">
        <v>330</v>
      </c>
      <c r="B29" t="s">
        <v>331</v>
      </c>
      <c r="C29" s="8">
        <v>46</v>
      </c>
      <c r="D29" s="8">
        <v>22.1</v>
      </c>
      <c r="E29" s="4">
        <v>1.01</v>
      </c>
    </row>
    <row r="30" spans="1:5" x14ac:dyDescent="0.25">
      <c r="A30" t="s">
        <v>332</v>
      </c>
      <c r="B30" t="s">
        <v>333</v>
      </c>
      <c r="C30" s="8">
        <v>50</v>
      </c>
      <c r="D30" s="8">
        <v>12.4</v>
      </c>
      <c r="E30" s="4">
        <v>2.5</v>
      </c>
    </row>
    <row r="31" spans="1:5" x14ac:dyDescent="0.25">
      <c r="A31" t="s">
        <v>334</v>
      </c>
      <c r="B31" t="s">
        <v>335</v>
      </c>
      <c r="C31" s="8">
        <v>50</v>
      </c>
      <c r="D31" s="8">
        <v>17.5</v>
      </c>
      <c r="E31" s="4">
        <v>0.72</v>
      </c>
    </row>
    <row r="32" spans="1:5" x14ac:dyDescent="0.25">
      <c r="A32" t="s">
        <v>336</v>
      </c>
      <c r="B32" t="s">
        <v>337</v>
      </c>
      <c r="C32" s="8">
        <v>50</v>
      </c>
      <c r="D32" s="8">
        <v>17.5</v>
      </c>
      <c r="E32" s="4">
        <v>0.72</v>
      </c>
    </row>
    <row r="33" spans="1:5" x14ac:dyDescent="0.25">
      <c r="A33" t="s">
        <v>338</v>
      </c>
      <c r="B33" t="s">
        <v>339</v>
      </c>
      <c r="C33" s="8">
        <v>50</v>
      </c>
      <c r="D33" s="8">
        <v>17.5</v>
      </c>
      <c r="E33" s="4">
        <v>0.72</v>
      </c>
    </row>
    <row r="34" spans="1:5" x14ac:dyDescent="0.25">
      <c r="A34" t="s">
        <v>340</v>
      </c>
      <c r="B34" t="s">
        <v>341</v>
      </c>
      <c r="C34" s="8">
        <v>36</v>
      </c>
      <c r="D34" s="8">
        <v>21</v>
      </c>
      <c r="E34" s="4">
        <v>0.4</v>
      </c>
    </row>
    <row r="35" spans="1:5" x14ac:dyDescent="0.25">
      <c r="A35" t="s">
        <v>342</v>
      </c>
      <c r="B35" t="s">
        <v>343</v>
      </c>
      <c r="C35" s="8">
        <v>24</v>
      </c>
      <c r="D35" s="8">
        <v>19.100000000000001</v>
      </c>
      <c r="E35" s="4">
        <v>0.26500000000000001</v>
      </c>
    </row>
    <row r="36" spans="1:5" x14ac:dyDescent="0.25">
      <c r="A36" t="s">
        <v>344</v>
      </c>
      <c r="B36" t="s">
        <v>345</v>
      </c>
      <c r="C36" s="8">
        <v>24</v>
      </c>
      <c r="D36" s="8">
        <v>17.8</v>
      </c>
      <c r="E36" s="4">
        <v>0.2</v>
      </c>
    </row>
    <row r="37" spans="1:5" x14ac:dyDescent="0.25">
      <c r="A37" t="s">
        <v>346</v>
      </c>
      <c r="B37" t="s">
        <v>347</v>
      </c>
      <c r="C37" s="8">
        <v>14</v>
      </c>
      <c r="D37" s="8">
        <v>11.5</v>
      </c>
      <c r="E37" s="4">
        <v>0.107</v>
      </c>
    </row>
    <row r="38" spans="1:5" x14ac:dyDescent="0.25">
      <c r="A38" t="s">
        <v>348</v>
      </c>
      <c r="B38" t="s">
        <v>349</v>
      </c>
      <c r="C38" s="8">
        <v>14</v>
      </c>
      <c r="D38" s="8">
        <v>11.5</v>
      </c>
      <c r="E38" s="4">
        <v>0.107</v>
      </c>
    </row>
    <row r="39" spans="1:5" x14ac:dyDescent="0.25">
      <c r="A39" t="s">
        <v>350</v>
      </c>
      <c r="B39" t="s">
        <v>351</v>
      </c>
      <c r="C39" s="8">
        <v>31.5</v>
      </c>
      <c r="D39" s="8">
        <v>19.5</v>
      </c>
      <c r="E39" s="4">
        <v>0.33500000000000002</v>
      </c>
    </row>
    <row r="40" spans="1:5" x14ac:dyDescent="0.25">
      <c r="A40" t="s">
        <v>352</v>
      </c>
      <c r="B40" t="s">
        <v>353</v>
      </c>
      <c r="C40" s="8">
        <v>14</v>
      </c>
      <c r="D40" s="8">
        <v>11.5</v>
      </c>
      <c r="E40" s="4">
        <v>0.107</v>
      </c>
    </row>
    <row r="41" spans="1:5" x14ac:dyDescent="0.25">
      <c r="A41" t="s">
        <v>354</v>
      </c>
      <c r="B41" t="s">
        <v>355</v>
      </c>
      <c r="C41" s="8">
        <v>14</v>
      </c>
      <c r="D41" s="8">
        <v>11.5</v>
      </c>
      <c r="E41" s="4">
        <v>0.107</v>
      </c>
    </row>
    <row r="42" spans="1:5" x14ac:dyDescent="0.25">
      <c r="A42" t="s">
        <v>356</v>
      </c>
      <c r="B42" t="s">
        <v>357</v>
      </c>
      <c r="C42" s="8">
        <v>11.5</v>
      </c>
      <c r="D42" s="8">
        <v>13.6</v>
      </c>
      <c r="E42" s="4">
        <v>0.20899999999999999</v>
      </c>
    </row>
    <row r="43" spans="1:5" x14ac:dyDescent="0.25">
      <c r="A43" t="s">
        <v>358</v>
      </c>
      <c r="B43" t="s">
        <v>359</v>
      </c>
      <c r="C43" s="8">
        <v>67</v>
      </c>
      <c r="D43" s="8">
        <v>15.4</v>
      </c>
      <c r="E43" s="4">
        <v>0.60000000000000009</v>
      </c>
    </row>
    <row r="44" spans="1:5" x14ac:dyDescent="0.25">
      <c r="A44" t="s">
        <v>360</v>
      </c>
      <c r="B44" t="s">
        <v>361</v>
      </c>
      <c r="C44" s="8">
        <v>63</v>
      </c>
      <c r="D44" s="8">
        <v>16.2</v>
      </c>
      <c r="E44" s="4">
        <v>0.26</v>
      </c>
    </row>
    <row r="45" spans="1:5" x14ac:dyDescent="0.25">
      <c r="A45" t="s">
        <v>362</v>
      </c>
      <c r="B45" t="s">
        <v>363</v>
      </c>
      <c r="C45" s="8">
        <v>67</v>
      </c>
      <c r="D45" s="8">
        <v>15.4</v>
      </c>
      <c r="E45" s="4">
        <v>0.60000000000000009</v>
      </c>
    </row>
    <row r="46" spans="1:5" x14ac:dyDescent="0.25">
      <c r="A46" t="s">
        <v>364</v>
      </c>
      <c r="B46" t="s">
        <v>365</v>
      </c>
      <c r="C46" s="8">
        <v>67</v>
      </c>
      <c r="D46" s="8">
        <v>15.4</v>
      </c>
      <c r="E46" s="4">
        <v>0.60000000000000009</v>
      </c>
    </row>
    <row r="47" spans="1:5" x14ac:dyDescent="0.25">
      <c r="A47" t="s">
        <v>366</v>
      </c>
      <c r="B47" t="s">
        <v>367</v>
      </c>
      <c r="C47" s="8">
        <v>42</v>
      </c>
      <c r="D47" s="8">
        <v>23.8</v>
      </c>
      <c r="E47" s="4">
        <v>0.01</v>
      </c>
    </row>
    <row r="48" spans="1:5" x14ac:dyDescent="0.25">
      <c r="A48" t="s">
        <v>368</v>
      </c>
      <c r="B48" t="s">
        <v>369</v>
      </c>
      <c r="C48" s="8">
        <v>34.86</v>
      </c>
      <c r="D48" s="8">
        <v>21.4</v>
      </c>
      <c r="E48" s="4">
        <v>0.1111</v>
      </c>
    </row>
    <row r="49" spans="1:5" x14ac:dyDescent="0.25">
      <c r="A49" t="s">
        <v>370</v>
      </c>
      <c r="B49" t="s">
        <v>371</v>
      </c>
      <c r="C49" s="8">
        <v>34.86</v>
      </c>
      <c r="D49" s="8">
        <v>21.4</v>
      </c>
      <c r="E49" s="4">
        <v>0.1111</v>
      </c>
    </row>
    <row r="50" spans="1:5" x14ac:dyDescent="0.25">
      <c r="A50" t="s">
        <v>372</v>
      </c>
      <c r="B50" t="s">
        <v>373</v>
      </c>
      <c r="C50" s="8">
        <v>25.7</v>
      </c>
      <c r="D50" s="8">
        <v>15.1</v>
      </c>
      <c r="E50" s="4">
        <v>0.17299999999999999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Sheet1!ch3.15</vt:lpstr>
      <vt:lpstr>Sheet1!ch3.32</vt:lpstr>
      <vt:lpstr>Sheet1!ch3.34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Riel, Anne-Jo van</dc:creator>
  <cp:lastModifiedBy>Riel, Anne-Jo van</cp:lastModifiedBy>
  <dcterms:created xsi:type="dcterms:W3CDTF">2026-07-06T09:49:13Z</dcterms:created>
  <dcterms:modified xsi:type="dcterms:W3CDTF">2026-07-08T12:26:44Z</dcterms:modified>
</cp:coreProperties>
</file>